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C:\Users\Abarrera\Documents\caps\"/>
    </mc:Choice>
  </mc:AlternateContent>
  <xr:revisionPtr revIDLastSave="0" documentId="13_ncr:1_{84722C5A-7CE5-430E-BABF-38F7C5BF2810}" xr6:coauthVersionLast="47" xr6:coauthVersionMax="47" xr10:uidLastSave="{00000000-0000-0000-0000-000000000000}"/>
  <bookViews>
    <workbookView xWindow="-110" yWindow="-110" windowWidth="19420" windowHeight="11500" tabRatio="500" activeTab="2" xr2:uid="{00000000-000D-0000-FFFF-FFFF00000000}"/>
  </bookViews>
  <sheets>
    <sheet name="Supuestos" sheetId="1" r:id="rId1"/>
    <sheet name="Proyeccion" sheetId="2" r:id="rId2"/>
    <sheet name="Resumen" sheetId="3" r:id="rId3"/>
  </sheets>
  <definedNames>
    <definedName name="_xlnm.Print_Area" localSheetId="2">Resumen!$A$1:$L$34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loext="http://schemas.libreoffice.org/" uri="{7626C862-2A13-11E5-B345-FEFF819CDC9F}">
      <loext:extCalcPr stringRefSyntax="ExcelA1"/>
    </ext>
  </extLst>
</workbook>
</file>

<file path=xl/calcChain.xml><?xml version="1.0" encoding="utf-8"?>
<calcChain xmlns="http://schemas.openxmlformats.org/spreadsheetml/2006/main">
  <c r="B7" i="3" l="1"/>
  <c r="B6" i="3"/>
  <c r="B5" i="3"/>
  <c r="Y56" i="2"/>
  <c r="P55" i="2"/>
  <c r="G49" i="2"/>
  <c r="Y45" i="2"/>
  <c r="Y42" i="2"/>
  <c r="G39" i="2"/>
  <c r="P34" i="2"/>
  <c r="G32" i="2"/>
  <c r="Y28" i="2"/>
  <c r="G25" i="2"/>
  <c r="G21" i="2"/>
  <c r="P18" i="2"/>
  <c r="G14" i="2"/>
  <c r="Y10" i="2"/>
  <c r="P9" i="2"/>
  <c r="G8" i="2"/>
  <c r="P7" i="2"/>
  <c r="G7" i="2"/>
  <c r="X5" i="2"/>
  <c r="T5" i="2"/>
  <c r="U5" i="2" s="1"/>
  <c r="K5" i="2"/>
  <c r="L5" i="2" s="1"/>
  <c r="B5" i="2"/>
  <c r="F5" i="2" s="1"/>
  <c r="B29" i="1"/>
  <c r="B26" i="1"/>
  <c r="P57" i="2" s="1"/>
  <c r="B20" i="1"/>
  <c r="Z4" i="2" s="1"/>
  <c r="AA4" i="2" s="1"/>
  <c r="B14" i="1"/>
  <c r="B13" i="1"/>
  <c r="K6" i="2" l="1"/>
  <c r="O6" i="2" s="1"/>
  <c r="M5" i="2"/>
  <c r="G57" i="2"/>
  <c r="P14" i="2"/>
  <c r="H4" i="2"/>
  <c r="I4" i="2" s="1"/>
  <c r="V5" i="2"/>
  <c r="P17" i="2"/>
  <c r="P40" i="2"/>
  <c r="P63" i="2"/>
  <c r="G61" i="2"/>
  <c r="Y58" i="2"/>
  <c r="P56" i="2"/>
  <c r="G54" i="2"/>
  <c r="Y51" i="2"/>
  <c r="P49" i="2"/>
  <c r="G47" i="2"/>
  <c r="Y44" i="2"/>
  <c r="P42" i="2"/>
  <c r="G40" i="2"/>
  <c r="Y37" i="2"/>
  <c r="P35" i="2"/>
  <c r="G33" i="2"/>
  <c r="Y30" i="2"/>
  <c r="P28" i="2"/>
  <c r="G26" i="2"/>
  <c r="Y23" i="2"/>
  <c r="P21" i="2"/>
  <c r="G19" i="2"/>
  <c r="Y16" i="2"/>
  <c r="G51" i="2"/>
  <c r="P50" i="2"/>
  <c r="Y34" i="2"/>
  <c r="G34" i="2"/>
  <c r="P54" i="2"/>
  <c r="Y53" i="2"/>
  <c r="G53" i="2"/>
  <c r="P52" i="2"/>
  <c r="G38" i="2"/>
  <c r="P37" i="2"/>
  <c r="Y36" i="2"/>
  <c r="G36" i="2"/>
  <c r="Y64" i="2"/>
  <c r="Y55" i="2"/>
  <c r="G55" i="2"/>
  <c r="P39" i="2"/>
  <c r="Y38" i="2"/>
  <c r="G23" i="2"/>
  <c r="P22" i="2"/>
  <c r="P60" i="2"/>
  <c r="Y59" i="2"/>
  <c r="G44" i="2"/>
  <c r="P43" i="2"/>
  <c r="Y27" i="2"/>
  <c r="G27" i="2"/>
  <c r="Y63" i="2"/>
  <c r="G63" i="2"/>
  <c r="P62" i="2"/>
  <c r="Y61" i="2"/>
  <c r="P47" i="2"/>
  <c r="Y46" i="2"/>
  <c r="G46" i="2"/>
  <c r="P45" i="2"/>
  <c r="G31" i="2"/>
  <c r="P30" i="2"/>
  <c r="Y29" i="2"/>
  <c r="G29" i="2"/>
  <c r="Y13" i="2"/>
  <c r="P11" i="2"/>
  <c r="G9" i="2"/>
  <c r="Y48" i="2"/>
  <c r="G48" i="2"/>
  <c r="P32" i="2"/>
  <c r="Y31" i="2"/>
  <c r="P64" i="2"/>
  <c r="G52" i="2"/>
  <c r="P51" i="2"/>
  <c r="Y50" i="2"/>
  <c r="G50" i="2"/>
  <c r="P53" i="2"/>
  <c r="Y52" i="2"/>
  <c r="G37" i="2"/>
  <c r="P36" i="2"/>
  <c r="Y20" i="2"/>
  <c r="G20" i="2"/>
  <c r="P61" i="2"/>
  <c r="Y60" i="2"/>
  <c r="G60" i="2"/>
  <c r="P59" i="2"/>
  <c r="G45" i="2"/>
  <c r="P44" i="2"/>
  <c r="P58" i="2"/>
  <c r="Y39" i="2"/>
  <c r="P38" i="2"/>
  <c r="P29" i="2"/>
  <c r="P15" i="2"/>
  <c r="G64" i="2"/>
  <c r="G62" i="2"/>
  <c r="G41" i="2"/>
  <c r="G28" i="2"/>
  <c r="Y25" i="2"/>
  <c r="P23" i="2"/>
  <c r="Y19" i="2"/>
  <c r="G17" i="2"/>
  <c r="Y6" i="2"/>
  <c r="Y57" i="2"/>
  <c r="G58" i="2"/>
  <c r="G56" i="2"/>
  <c r="Y43" i="2"/>
  <c r="Y18" i="2"/>
  <c r="Y40" i="2"/>
  <c r="P5" i="2"/>
  <c r="G35" i="2"/>
  <c r="Y33" i="2"/>
  <c r="Y26" i="2"/>
  <c r="G16" i="2"/>
  <c r="G6" i="2"/>
  <c r="G42" i="2"/>
  <c r="P31" i="2"/>
  <c r="G22" i="2"/>
  <c r="P19" i="2"/>
  <c r="Y17" i="2"/>
  <c r="P12" i="2"/>
  <c r="Y11" i="2"/>
  <c r="G11" i="2"/>
  <c r="P10" i="2"/>
  <c r="Y9" i="2"/>
  <c r="Y7" i="2"/>
  <c r="P48" i="2"/>
  <c r="Y32" i="2"/>
  <c r="P25" i="2"/>
  <c r="P24" i="2"/>
  <c r="P20" i="2"/>
  <c r="P8" i="2"/>
  <c r="P46" i="2"/>
  <c r="G30" i="2"/>
  <c r="O5" i="2"/>
  <c r="Y15" i="2"/>
  <c r="Y35" i="2"/>
  <c r="T6" i="2"/>
  <c r="X6" i="2" s="1"/>
  <c r="P41" i="2"/>
  <c r="Y5" i="2"/>
  <c r="G10" i="2"/>
  <c r="P33" i="2"/>
  <c r="P6" i="2"/>
  <c r="Y49" i="2"/>
  <c r="Y14" i="2"/>
  <c r="Q4" i="2"/>
  <c r="R4" i="2" s="1"/>
  <c r="G24" i="2"/>
  <c r="Y62" i="2"/>
  <c r="G43" i="2"/>
  <c r="Y54" i="2"/>
  <c r="P16" i="2"/>
  <c r="P26" i="2"/>
  <c r="Y47" i="2"/>
  <c r="G59" i="2"/>
  <c r="G12" i="2"/>
  <c r="Y21" i="2"/>
  <c r="P27" i="2"/>
  <c r="G13" i="2"/>
  <c r="P13" i="2"/>
  <c r="Y8" i="2"/>
  <c r="Y12" i="2"/>
  <c r="G18" i="2"/>
  <c r="G5" i="2"/>
  <c r="G15" i="2"/>
  <c r="Y22" i="2"/>
  <c r="Y24" i="2"/>
  <c r="Y41" i="2"/>
  <c r="C5" i="2"/>
  <c r="E7" i="3"/>
  <c r="E6" i="3"/>
  <c r="E5" i="3"/>
  <c r="L6" i="2" l="1"/>
  <c r="N5" i="2"/>
  <c r="Q5" i="2" s="1"/>
  <c r="R5" i="2" s="1"/>
  <c r="D5" i="2"/>
  <c r="B6" i="2"/>
  <c r="F6" i="2" s="1"/>
  <c r="U6" i="2"/>
  <c r="W5" i="2"/>
  <c r="Z5" i="2" s="1"/>
  <c r="AA5" i="2" s="1"/>
  <c r="K7" i="2" l="1"/>
  <c r="O7" i="2" s="1"/>
  <c r="M6" i="2"/>
  <c r="V6" i="2"/>
  <c r="T7" i="2"/>
  <c r="X7" i="2" s="1"/>
  <c r="C6" i="2"/>
  <c r="E5" i="2"/>
  <c r="H5" i="2"/>
  <c r="I5" i="2" s="1"/>
  <c r="B7" i="2" l="1"/>
  <c r="F7" i="2" s="1"/>
  <c r="D6" i="2"/>
  <c r="N6" i="2"/>
  <c r="Q6" i="2"/>
  <c r="R6" i="2" s="1"/>
  <c r="U7" i="2"/>
  <c r="W6" i="2"/>
  <c r="Z6" i="2" s="1"/>
  <c r="AA6" i="2" s="1"/>
  <c r="L7" i="2"/>
  <c r="T8" i="2" l="1"/>
  <c r="X8" i="2" s="1"/>
  <c r="V7" i="2"/>
  <c r="H6" i="2"/>
  <c r="I6" i="2" s="1"/>
  <c r="E6" i="2"/>
  <c r="C7" i="2"/>
  <c r="M7" i="2"/>
  <c r="K8" i="2"/>
  <c r="O8" i="2" s="1"/>
  <c r="W7" i="2" l="1"/>
  <c r="Z7" i="2" s="1"/>
  <c r="AA7" i="2" s="1"/>
  <c r="U8" i="2"/>
  <c r="L8" i="2"/>
  <c r="N7" i="2"/>
  <c r="Q7" i="2"/>
  <c r="R7" i="2" s="1"/>
  <c r="B8" i="2"/>
  <c r="F8" i="2" s="1"/>
  <c r="D7" i="2"/>
  <c r="C8" i="2" l="1"/>
  <c r="L9" i="2"/>
  <c r="K9" i="2"/>
  <c r="O9" i="2" s="1"/>
  <c r="M8" i="2"/>
  <c r="T9" i="2"/>
  <c r="X9" i="2" s="1"/>
  <c r="V8" i="2"/>
  <c r="U9" i="2"/>
  <c r="E7" i="2"/>
  <c r="H7" i="2" s="1"/>
  <c r="I7" i="2" s="1"/>
  <c r="L10" i="2" l="1"/>
  <c r="M9" i="2"/>
  <c r="K10" i="2"/>
  <c r="O10" i="2" s="1"/>
  <c r="D8" i="2"/>
  <c r="B9" i="2"/>
  <c r="F9" i="2" s="1"/>
  <c r="T10" i="2"/>
  <c r="X10" i="2" s="1"/>
  <c r="V9" i="2"/>
  <c r="W8" i="2"/>
  <c r="Z8" i="2" s="1"/>
  <c r="AA8" i="2" s="1"/>
  <c r="N8" i="2"/>
  <c r="Q8" i="2" s="1"/>
  <c r="R8" i="2" s="1"/>
  <c r="K11" i="2" l="1"/>
  <c r="O11" i="2" s="1"/>
  <c r="M10" i="2"/>
  <c r="W9" i="2"/>
  <c r="Z9" i="2"/>
  <c r="AA9" i="2" s="1"/>
  <c r="U10" i="2"/>
  <c r="C9" i="2"/>
  <c r="E8" i="2"/>
  <c r="H8" i="2" s="1"/>
  <c r="I8" i="2" s="1"/>
  <c r="N9" i="2"/>
  <c r="Q9" i="2" s="1"/>
  <c r="R9" i="2" s="1"/>
  <c r="L11" i="2" l="1"/>
  <c r="D9" i="2"/>
  <c r="B10" i="2"/>
  <c r="F10" i="2" s="1"/>
  <c r="V10" i="2"/>
  <c r="T11" i="2"/>
  <c r="X11" i="2" s="1"/>
  <c r="Q10" i="2"/>
  <c r="R10" i="2" s="1"/>
  <c r="N10" i="2"/>
  <c r="U11" i="2" l="1"/>
  <c r="C10" i="2"/>
  <c r="W10" i="2"/>
  <c r="Z10" i="2" s="1"/>
  <c r="AA10" i="2" s="1"/>
  <c r="E9" i="2"/>
  <c r="H9" i="2" s="1"/>
  <c r="I9" i="2" s="1"/>
  <c r="M11" i="2"/>
  <c r="K12" i="2"/>
  <c r="O12" i="2" s="1"/>
  <c r="L12" i="2" l="1"/>
  <c r="N11" i="2"/>
  <c r="Q11" i="2"/>
  <c r="R11" i="2" s="1"/>
  <c r="D10" i="2"/>
  <c r="B11" i="2"/>
  <c r="F11" i="2" s="1"/>
  <c r="T12" i="2"/>
  <c r="X12" i="2" s="1"/>
  <c r="V11" i="2"/>
  <c r="E10" i="2" l="1"/>
  <c r="H10" i="2" s="1"/>
  <c r="I10" i="2" s="1"/>
  <c r="W11" i="2"/>
  <c r="Z11" i="2" s="1"/>
  <c r="AA11" i="2" s="1"/>
  <c r="K13" i="2"/>
  <c r="O13" i="2" s="1"/>
  <c r="M12" i="2"/>
  <c r="U12" i="2"/>
  <c r="C11" i="2"/>
  <c r="N12" i="2" l="1"/>
  <c r="Q12" i="2" s="1"/>
  <c r="R12" i="2" s="1"/>
  <c r="L13" i="2"/>
  <c r="B12" i="2"/>
  <c r="F12" i="2" s="1"/>
  <c r="D11" i="2"/>
  <c r="V12" i="2"/>
  <c r="T13" i="2"/>
  <c r="X13" i="2" s="1"/>
  <c r="K14" i="2" l="1"/>
  <c r="O14" i="2" s="1"/>
  <c r="M13" i="2"/>
  <c r="L14" i="2"/>
  <c r="C12" i="2"/>
  <c r="U13" i="2"/>
  <c r="W12" i="2"/>
  <c r="Z12" i="2"/>
  <c r="AA12" i="2" s="1"/>
  <c r="E11" i="2"/>
  <c r="H11" i="2" s="1"/>
  <c r="I11" i="2" s="1"/>
  <c r="V13" i="2" l="1"/>
  <c r="T14" i="2"/>
  <c r="X14" i="2" s="1"/>
  <c r="D12" i="2"/>
  <c r="B13" i="2"/>
  <c r="F13" i="2" s="1"/>
  <c r="K15" i="2"/>
  <c r="O15" i="2" s="1"/>
  <c r="L15" i="2"/>
  <c r="M14" i="2"/>
  <c r="N13" i="2"/>
  <c r="Q13" i="2"/>
  <c r="R13" i="2" s="1"/>
  <c r="U14" i="2" l="1"/>
  <c r="K16" i="2"/>
  <c r="O16" i="2" s="1"/>
  <c r="L16" i="2"/>
  <c r="M15" i="2"/>
  <c r="N14" i="2"/>
  <c r="Q14" i="2"/>
  <c r="R14" i="2" s="1"/>
  <c r="E12" i="2"/>
  <c r="H12" i="2" s="1"/>
  <c r="I12" i="2" s="1"/>
  <c r="W13" i="2"/>
  <c r="Z13" i="2" s="1"/>
  <c r="AA13" i="2" s="1"/>
  <c r="C13" i="2"/>
  <c r="B14" i="2" l="1"/>
  <c r="F14" i="2" s="1"/>
  <c r="D13" i="2"/>
  <c r="N15" i="2"/>
  <c r="Q15" i="2" s="1"/>
  <c r="R15" i="2" s="1"/>
  <c r="M16" i="2"/>
  <c r="K17" i="2"/>
  <c r="O17" i="2" s="1"/>
  <c r="L17" i="2"/>
  <c r="T15" i="2"/>
  <c r="X15" i="2" s="1"/>
  <c r="V14" i="2"/>
  <c r="E13" i="2" l="1"/>
  <c r="H13" i="2" s="1"/>
  <c r="I13" i="2" s="1"/>
  <c r="W14" i="2"/>
  <c r="Z14" i="2" s="1"/>
  <c r="AA14" i="2" s="1"/>
  <c r="K18" i="2"/>
  <c r="O18" i="2" s="1"/>
  <c r="M17" i="2"/>
  <c r="C14" i="2"/>
  <c r="U15" i="2"/>
  <c r="N16" i="2"/>
  <c r="Q16" i="2" s="1"/>
  <c r="R16" i="2" s="1"/>
  <c r="L18" i="2" l="1"/>
  <c r="N17" i="2"/>
  <c r="Q17" i="2"/>
  <c r="R17" i="2" s="1"/>
  <c r="T16" i="2"/>
  <c r="X16" i="2" s="1"/>
  <c r="V15" i="2"/>
  <c r="D14" i="2"/>
  <c r="B15" i="2"/>
  <c r="F15" i="2" s="1"/>
  <c r="U16" i="2" l="1"/>
  <c r="M18" i="2"/>
  <c r="K19" i="2"/>
  <c r="O19" i="2" s="1"/>
  <c r="E14" i="2"/>
  <c r="H14" i="2"/>
  <c r="I14" i="2" s="1"/>
  <c r="C15" i="2"/>
  <c r="W15" i="2"/>
  <c r="Z15" i="2" s="1"/>
  <c r="AA15" i="2" s="1"/>
  <c r="L19" i="2" l="1"/>
  <c r="T17" i="2"/>
  <c r="X17" i="2" s="1"/>
  <c r="V16" i="2"/>
  <c r="D15" i="2"/>
  <c r="B16" i="2"/>
  <c r="F16" i="2" s="1"/>
  <c r="N18" i="2"/>
  <c r="Q18" i="2" s="1"/>
  <c r="R18" i="2" s="1"/>
  <c r="C16" i="2" l="1"/>
  <c r="E15" i="2"/>
  <c r="H15" i="2"/>
  <c r="I15" i="2" s="1"/>
  <c r="U17" i="2"/>
  <c r="W16" i="2"/>
  <c r="Z16" i="2"/>
  <c r="AA16" i="2" s="1"/>
  <c r="K20" i="2"/>
  <c r="O20" i="2" s="1"/>
  <c r="M19" i="2"/>
  <c r="L20" i="2" l="1"/>
  <c r="V17" i="2"/>
  <c r="T18" i="2"/>
  <c r="X18" i="2" s="1"/>
  <c r="D16" i="2"/>
  <c r="B17" i="2"/>
  <c r="F17" i="2" s="1"/>
  <c r="N19" i="2"/>
  <c r="Q19" i="2" s="1"/>
  <c r="R19" i="2" s="1"/>
  <c r="W17" i="2" l="1"/>
  <c r="Z17" i="2" s="1"/>
  <c r="AA17" i="2" s="1"/>
  <c r="U18" i="2"/>
  <c r="E16" i="2"/>
  <c r="H16" i="2" s="1"/>
  <c r="I16" i="2" s="1"/>
  <c r="K21" i="2"/>
  <c r="O21" i="2" s="1"/>
  <c r="M20" i="2"/>
  <c r="C17" i="2"/>
  <c r="N20" i="2" l="1"/>
  <c r="Q20" i="2" s="1"/>
  <c r="R20" i="2" s="1"/>
  <c r="T19" i="2"/>
  <c r="X19" i="2" s="1"/>
  <c r="V18" i="2"/>
  <c r="C18" i="2"/>
  <c r="B18" i="2"/>
  <c r="F18" i="2" s="1"/>
  <c r="D17" i="2"/>
  <c r="L21" i="2"/>
  <c r="U19" i="2" l="1"/>
  <c r="K22" i="2"/>
  <c r="O22" i="2" s="1"/>
  <c r="M21" i="2"/>
  <c r="E17" i="2"/>
  <c r="H17" i="2" s="1"/>
  <c r="I17" i="2" s="1"/>
  <c r="B19" i="2"/>
  <c r="F19" i="2" s="1"/>
  <c r="C19" i="2"/>
  <c r="D18" i="2"/>
  <c r="W18" i="2"/>
  <c r="Z18" i="2" s="1"/>
  <c r="AA18" i="2" s="1"/>
  <c r="D19" i="2" l="1"/>
  <c r="B20" i="2"/>
  <c r="F20" i="2" s="1"/>
  <c r="N21" i="2"/>
  <c r="Q21" i="2" s="1"/>
  <c r="R21" i="2" s="1"/>
  <c r="E18" i="2"/>
  <c r="H18" i="2" s="1"/>
  <c r="I18" i="2" s="1"/>
  <c r="L22" i="2"/>
  <c r="T20" i="2"/>
  <c r="X20" i="2" s="1"/>
  <c r="V19" i="2"/>
  <c r="E19" i="2" l="1"/>
  <c r="H19" i="2"/>
  <c r="I19" i="2" s="1"/>
  <c r="U20" i="2"/>
  <c r="C20" i="2"/>
  <c r="W19" i="2"/>
  <c r="Z19" i="2"/>
  <c r="AA19" i="2" s="1"/>
  <c r="M22" i="2"/>
  <c r="K23" i="2"/>
  <c r="O23" i="2" s="1"/>
  <c r="D20" i="2" l="1"/>
  <c r="B21" i="2"/>
  <c r="F21" i="2" s="1"/>
  <c r="L23" i="2"/>
  <c r="V20" i="2"/>
  <c r="U21" i="2"/>
  <c r="T21" i="2"/>
  <c r="X21" i="2" s="1"/>
  <c r="N22" i="2"/>
  <c r="Q22" i="2" s="1"/>
  <c r="R22" i="2" s="1"/>
  <c r="E20" i="2" l="1"/>
  <c r="H20" i="2" s="1"/>
  <c r="I20" i="2" s="1"/>
  <c r="V21" i="2"/>
  <c r="T22" i="2"/>
  <c r="X22" i="2" s="1"/>
  <c r="K24" i="2"/>
  <c r="O24" i="2" s="1"/>
  <c r="M23" i="2"/>
  <c r="W20" i="2"/>
  <c r="Z20" i="2"/>
  <c r="AA20" i="2" s="1"/>
  <c r="C21" i="2"/>
  <c r="D21" i="2" l="1"/>
  <c r="B22" i="2"/>
  <c r="F22" i="2" s="1"/>
  <c r="N23" i="2"/>
  <c r="Q23" i="2" s="1"/>
  <c r="R23" i="2" s="1"/>
  <c r="L24" i="2"/>
  <c r="Z21" i="2"/>
  <c r="AA21" i="2" s="1"/>
  <c r="W21" i="2"/>
  <c r="U22" i="2"/>
  <c r="E21" i="2" l="1"/>
  <c r="H21" i="2"/>
  <c r="I21" i="2" s="1"/>
  <c r="M24" i="2"/>
  <c r="K25" i="2"/>
  <c r="O25" i="2" s="1"/>
  <c r="C22" i="2"/>
  <c r="T23" i="2"/>
  <c r="X23" i="2" s="1"/>
  <c r="V22" i="2"/>
  <c r="N24" i="2" l="1"/>
  <c r="Q24" i="2"/>
  <c r="R24" i="2" s="1"/>
  <c r="B23" i="2"/>
  <c r="F23" i="2" s="1"/>
  <c r="D22" i="2"/>
  <c r="L25" i="2"/>
  <c r="W22" i="2"/>
  <c r="Z22" i="2" s="1"/>
  <c r="AA22" i="2" s="1"/>
  <c r="U23" i="2"/>
  <c r="C23" i="2" l="1"/>
  <c r="M25" i="2"/>
  <c r="K26" i="2"/>
  <c r="O26" i="2" s="1"/>
  <c r="L26" i="2"/>
  <c r="E22" i="2"/>
  <c r="H22" i="2"/>
  <c r="I22" i="2" s="1"/>
  <c r="V23" i="2"/>
  <c r="U24" i="2"/>
  <c r="T24" i="2"/>
  <c r="X24" i="2" s="1"/>
  <c r="K27" i="2" l="1"/>
  <c r="O27" i="2" s="1"/>
  <c r="M26" i="2"/>
  <c r="N25" i="2"/>
  <c r="Q25" i="2" s="1"/>
  <c r="R25" i="2" s="1"/>
  <c r="D23" i="2"/>
  <c r="B24" i="2"/>
  <c r="F24" i="2" s="1"/>
  <c r="T25" i="2"/>
  <c r="X25" i="2" s="1"/>
  <c r="V24" i="2"/>
  <c r="W23" i="2"/>
  <c r="Z23" i="2" s="1"/>
  <c r="AA23" i="2" s="1"/>
  <c r="L27" i="2" l="1"/>
  <c r="U25" i="2"/>
  <c r="C24" i="2"/>
  <c r="E23" i="2"/>
  <c r="H23" i="2" s="1"/>
  <c r="I23" i="2" s="1"/>
  <c r="N26" i="2"/>
  <c r="Q26" i="2" s="1"/>
  <c r="R26" i="2" s="1"/>
  <c r="W24" i="2"/>
  <c r="Z24" i="2" s="1"/>
  <c r="AA24" i="2" s="1"/>
  <c r="T26" i="2" l="1"/>
  <c r="X26" i="2" s="1"/>
  <c r="V25" i="2"/>
  <c r="U26" i="2"/>
  <c r="B25" i="2"/>
  <c r="F25" i="2" s="1"/>
  <c r="D24" i="2"/>
  <c r="K28" i="2"/>
  <c r="O28" i="2" s="1"/>
  <c r="M27" i="2"/>
  <c r="N27" i="2" l="1"/>
  <c r="Q27" i="2" s="1"/>
  <c r="R27" i="2" s="1"/>
  <c r="W25" i="2"/>
  <c r="Z25" i="2" s="1"/>
  <c r="AA25" i="2" s="1"/>
  <c r="L28" i="2"/>
  <c r="C25" i="2"/>
  <c r="E24" i="2"/>
  <c r="H24" i="2" s="1"/>
  <c r="I24" i="2" s="1"/>
  <c r="T27" i="2"/>
  <c r="X27" i="2" s="1"/>
  <c r="V26" i="2"/>
  <c r="B26" i="2" l="1"/>
  <c r="F26" i="2" s="1"/>
  <c r="D25" i="2"/>
  <c r="U27" i="2"/>
  <c r="W26" i="2"/>
  <c r="Z26" i="2"/>
  <c r="AA26" i="2" s="1"/>
  <c r="K29" i="2"/>
  <c r="O29" i="2" s="1"/>
  <c r="M28" i="2"/>
  <c r="C26" i="2" l="1"/>
  <c r="N28" i="2"/>
  <c r="Q28" i="2" s="1"/>
  <c r="R28" i="2" s="1"/>
  <c r="V27" i="2"/>
  <c r="T28" i="2"/>
  <c r="X28" i="2" s="1"/>
  <c r="E25" i="2"/>
  <c r="H25" i="2" s="1"/>
  <c r="I25" i="2" s="1"/>
  <c r="L29" i="2"/>
  <c r="M29" i="2" l="1"/>
  <c r="K30" i="2"/>
  <c r="O30" i="2" s="1"/>
  <c r="U28" i="2"/>
  <c r="W27" i="2"/>
  <c r="Z27" i="2"/>
  <c r="AA27" i="2" s="1"/>
  <c r="B27" i="2"/>
  <c r="F27" i="2" s="1"/>
  <c r="C27" i="2"/>
  <c r="D26" i="2"/>
  <c r="E26" i="2" l="1"/>
  <c r="H26" i="2" s="1"/>
  <c r="I26" i="2" s="1"/>
  <c r="B28" i="2"/>
  <c r="F28" i="2" s="1"/>
  <c r="D27" i="2"/>
  <c r="V28" i="2"/>
  <c r="T29" i="2"/>
  <c r="X29" i="2" s="1"/>
  <c r="L30" i="2"/>
  <c r="N29" i="2"/>
  <c r="Q29" i="2" s="1"/>
  <c r="R29" i="2" s="1"/>
  <c r="W28" i="2" l="1"/>
  <c r="Z28" i="2" s="1"/>
  <c r="AA28" i="2" s="1"/>
  <c r="U29" i="2"/>
  <c r="E27" i="2"/>
  <c r="H27" i="2" s="1"/>
  <c r="I27" i="2" s="1"/>
  <c r="M30" i="2"/>
  <c r="K31" i="2"/>
  <c r="O31" i="2" s="1"/>
  <c r="C28" i="2"/>
  <c r="N30" i="2" l="1"/>
  <c r="Q30" i="2" s="1"/>
  <c r="R30" i="2" s="1"/>
  <c r="L31" i="2"/>
  <c r="T30" i="2"/>
  <c r="X30" i="2" s="1"/>
  <c r="V29" i="2"/>
  <c r="B29" i="2"/>
  <c r="F29" i="2" s="1"/>
  <c r="D28" i="2"/>
  <c r="C29" i="2" l="1"/>
  <c r="W29" i="2"/>
  <c r="Z29" i="2" s="1"/>
  <c r="AA29" i="2" s="1"/>
  <c r="U30" i="2"/>
  <c r="M31" i="2"/>
  <c r="K32" i="2"/>
  <c r="O32" i="2" s="1"/>
  <c r="E28" i="2"/>
  <c r="H28" i="2" s="1"/>
  <c r="I28" i="2" s="1"/>
  <c r="N31" i="2" l="1"/>
  <c r="Q31" i="2" s="1"/>
  <c r="R31" i="2" s="1"/>
  <c r="V30" i="2"/>
  <c r="T31" i="2"/>
  <c r="X31" i="2" s="1"/>
  <c r="B30" i="2"/>
  <c r="F30" i="2" s="1"/>
  <c r="D29" i="2"/>
  <c r="L32" i="2"/>
  <c r="E29" i="2" l="1"/>
  <c r="H29" i="2"/>
  <c r="I29" i="2" s="1"/>
  <c r="U31" i="2"/>
  <c r="C30" i="2"/>
  <c r="W30" i="2"/>
  <c r="Z30" i="2"/>
  <c r="AA30" i="2" s="1"/>
  <c r="M32" i="2"/>
  <c r="K33" i="2"/>
  <c r="O33" i="2" s="1"/>
  <c r="L33" i="2" l="1"/>
  <c r="N32" i="2"/>
  <c r="Q32" i="2" s="1"/>
  <c r="R32" i="2" s="1"/>
  <c r="D30" i="2"/>
  <c r="B31" i="2"/>
  <c r="F31" i="2" s="1"/>
  <c r="T32" i="2"/>
  <c r="X32" i="2" s="1"/>
  <c r="V31" i="2"/>
  <c r="M33" i="2" l="1"/>
  <c r="K34" i="2"/>
  <c r="O34" i="2" s="1"/>
  <c r="C31" i="2"/>
  <c r="U32" i="2"/>
  <c r="W31" i="2"/>
  <c r="Z31" i="2" s="1"/>
  <c r="AA31" i="2" s="1"/>
  <c r="E30" i="2"/>
  <c r="H30" i="2" s="1"/>
  <c r="I30" i="2" s="1"/>
  <c r="D31" i="2" l="1"/>
  <c r="B32" i="2"/>
  <c r="F32" i="2" s="1"/>
  <c r="N33" i="2"/>
  <c r="Q33" i="2" s="1"/>
  <c r="R33" i="2" s="1"/>
  <c r="V32" i="2"/>
  <c r="T33" i="2"/>
  <c r="X33" i="2" s="1"/>
  <c r="L34" i="2"/>
  <c r="U33" i="2" l="1"/>
  <c r="K35" i="2"/>
  <c r="O35" i="2" s="1"/>
  <c r="L35" i="2"/>
  <c r="M34" i="2"/>
  <c r="C32" i="2"/>
  <c r="W32" i="2"/>
  <c r="Z32" i="2"/>
  <c r="AA32" i="2" s="1"/>
  <c r="E31" i="2"/>
  <c r="H31" i="2" s="1"/>
  <c r="I31" i="2" s="1"/>
  <c r="B33" i="2" l="1"/>
  <c r="F33" i="2" s="1"/>
  <c r="D32" i="2"/>
  <c r="N34" i="2"/>
  <c r="Q34" i="2" s="1"/>
  <c r="R34" i="2" s="1"/>
  <c r="M35" i="2"/>
  <c r="K36" i="2"/>
  <c r="O36" i="2" s="1"/>
  <c r="T34" i="2"/>
  <c r="X34" i="2" s="1"/>
  <c r="U34" i="2"/>
  <c r="V33" i="2"/>
  <c r="W33" i="2" l="1"/>
  <c r="Z33" i="2"/>
  <c r="AA33" i="2" s="1"/>
  <c r="V34" i="2"/>
  <c r="T35" i="2"/>
  <c r="X35" i="2" s="1"/>
  <c r="L36" i="2"/>
  <c r="N35" i="2"/>
  <c r="Q35" i="2" s="1"/>
  <c r="R35" i="2" s="1"/>
  <c r="C33" i="2"/>
  <c r="E32" i="2"/>
  <c r="H32" i="2"/>
  <c r="I32" i="2" s="1"/>
  <c r="B34" i="2" l="1"/>
  <c r="F34" i="2" s="1"/>
  <c r="D33" i="2"/>
  <c r="C34" i="2"/>
  <c r="K37" i="2"/>
  <c r="O37" i="2" s="1"/>
  <c r="M36" i="2"/>
  <c r="U35" i="2"/>
  <c r="W34" i="2"/>
  <c r="Z34" i="2"/>
  <c r="AA34" i="2" s="1"/>
  <c r="T36" i="2" l="1"/>
  <c r="X36" i="2" s="1"/>
  <c r="V35" i="2"/>
  <c r="N36" i="2"/>
  <c r="Q36" i="2" s="1"/>
  <c r="R36" i="2" s="1"/>
  <c r="L37" i="2"/>
  <c r="D34" i="2"/>
  <c r="B35" i="2"/>
  <c r="F35" i="2" s="1"/>
  <c r="E33" i="2"/>
  <c r="H33" i="2" s="1"/>
  <c r="I33" i="2" s="1"/>
  <c r="C35" i="2" l="1"/>
  <c r="E34" i="2"/>
  <c r="H34" i="2"/>
  <c r="I34" i="2" s="1"/>
  <c r="M37" i="2"/>
  <c r="K38" i="2"/>
  <c r="O38" i="2" s="1"/>
  <c r="W35" i="2"/>
  <c r="Z35" i="2" s="1"/>
  <c r="AA35" i="2" s="1"/>
  <c r="U36" i="2"/>
  <c r="T37" i="2" l="1"/>
  <c r="X37" i="2" s="1"/>
  <c r="V36" i="2"/>
  <c r="U37" i="2"/>
  <c r="L38" i="2"/>
  <c r="N37" i="2"/>
  <c r="Q37" i="2" s="1"/>
  <c r="R37" i="2" s="1"/>
  <c r="B36" i="2"/>
  <c r="F36" i="2" s="1"/>
  <c r="D35" i="2"/>
  <c r="E35" i="2" l="1"/>
  <c r="H35" i="2" s="1"/>
  <c r="I35" i="2" s="1"/>
  <c r="C36" i="2"/>
  <c r="K39" i="2"/>
  <c r="O39" i="2" s="1"/>
  <c r="M38" i="2"/>
  <c r="T38" i="2"/>
  <c r="X38" i="2" s="1"/>
  <c r="V37" i="2"/>
  <c r="W36" i="2"/>
  <c r="Z36" i="2" s="1"/>
  <c r="AA36" i="2" s="1"/>
  <c r="W37" i="2" l="1"/>
  <c r="Z37" i="2" s="1"/>
  <c r="AA37" i="2" s="1"/>
  <c r="U38" i="2"/>
  <c r="N38" i="2"/>
  <c r="Q38" i="2"/>
  <c r="R38" i="2" s="1"/>
  <c r="L39" i="2"/>
  <c r="B37" i="2"/>
  <c r="F37" i="2" s="1"/>
  <c r="D36" i="2"/>
  <c r="E36" i="2" l="1"/>
  <c r="H36" i="2"/>
  <c r="I36" i="2" s="1"/>
  <c r="C37" i="2"/>
  <c r="M39" i="2"/>
  <c r="K40" i="2"/>
  <c r="O40" i="2" s="1"/>
  <c r="L40" i="2"/>
  <c r="T39" i="2"/>
  <c r="X39" i="2" s="1"/>
  <c r="V38" i="2"/>
  <c r="U39" i="2"/>
  <c r="T40" i="2" l="1"/>
  <c r="X40" i="2" s="1"/>
  <c r="V39" i="2"/>
  <c r="W38" i="2"/>
  <c r="Z38" i="2" s="1"/>
  <c r="AA38" i="2" s="1"/>
  <c r="M40" i="2"/>
  <c r="K41" i="2"/>
  <c r="O41" i="2" s="1"/>
  <c r="N39" i="2"/>
  <c r="Q39" i="2" s="1"/>
  <c r="R39" i="2" s="1"/>
  <c r="D37" i="2"/>
  <c r="B38" i="2"/>
  <c r="F38" i="2" s="1"/>
  <c r="W39" i="2" l="1"/>
  <c r="Z39" i="2" s="1"/>
  <c r="AA39" i="2" s="1"/>
  <c r="C38" i="2"/>
  <c r="E37" i="2"/>
  <c r="H37" i="2"/>
  <c r="I37" i="2" s="1"/>
  <c r="N40" i="2"/>
  <c r="Q40" i="2" s="1"/>
  <c r="R40" i="2" s="1"/>
  <c r="L41" i="2"/>
  <c r="U40" i="2"/>
  <c r="T41" i="2" l="1"/>
  <c r="X41" i="2" s="1"/>
  <c r="V40" i="2"/>
  <c r="U41" i="2"/>
  <c r="K42" i="2"/>
  <c r="O42" i="2" s="1"/>
  <c r="L42" i="2"/>
  <c r="M41" i="2"/>
  <c r="D38" i="2"/>
  <c r="B39" i="2"/>
  <c r="F39" i="2" s="1"/>
  <c r="H38" i="2" l="1"/>
  <c r="I38" i="2" s="1"/>
  <c r="E38" i="2"/>
  <c r="C39" i="2"/>
  <c r="N41" i="2"/>
  <c r="Q41" i="2" s="1"/>
  <c r="R41" i="2" s="1"/>
  <c r="K43" i="2"/>
  <c r="O43" i="2" s="1"/>
  <c r="L43" i="2"/>
  <c r="M42" i="2"/>
  <c r="V41" i="2"/>
  <c r="T42" i="2"/>
  <c r="X42" i="2" s="1"/>
  <c r="U42" i="2"/>
  <c r="W40" i="2"/>
  <c r="Z40" i="2"/>
  <c r="AA40" i="2" s="1"/>
  <c r="T43" i="2" l="1"/>
  <c r="X43" i="2" s="1"/>
  <c r="V42" i="2"/>
  <c r="W41" i="2"/>
  <c r="Z41" i="2" s="1"/>
  <c r="AA41" i="2" s="1"/>
  <c r="N42" i="2"/>
  <c r="Q42" i="2" s="1"/>
  <c r="R42" i="2" s="1"/>
  <c r="K44" i="2"/>
  <c r="O44" i="2" s="1"/>
  <c r="M43" i="2"/>
  <c r="B40" i="2"/>
  <c r="F40" i="2" s="1"/>
  <c r="D39" i="2"/>
  <c r="N43" i="2" l="1"/>
  <c r="Q43" i="2"/>
  <c r="R43" i="2" s="1"/>
  <c r="L44" i="2"/>
  <c r="W42" i="2"/>
  <c r="Z42" i="2" s="1"/>
  <c r="AA42" i="2" s="1"/>
  <c r="U43" i="2"/>
  <c r="E39" i="2"/>
  <c r="H39" i="2" s="1"/>
  <c r="I39" i="2" s="1"/>
  <c r="C40" i="2"/>
  <c r="B41" i="2" l="1"/>
  <c r="F41" i="2" s="1"/>
  <c r="D40" i="2"/>
  <c r="T44" i="2"/>
  <c r="X44" i="2" s="1"/>
  <c r="V43" i="2"/>
  <c r="U44" i="2"/>
  <c r="M44" i="2"/>
  <c r="K45" i="2"/>
  <c r="O45" i="2" s="1"/>
  <c r="T45" i="2" l="1"/>
  <c r="X45" i="2" s="1"/>
  <c r="V44" i="2"/>
  <c r="N44" i="2"/>
  <c r="Q44" i="2" s="1"/>
  <c r="R44" i="2" s="1"/>
  <c r="L45" i="2"/>
  <c r="W43" i="2"/>
  <c r="Z43" i="2" s="1"/>
  <c r="AA43" i="2" s="1"/>
  <c r="C41" i="2"/>
  <c r="E40" i="2"/>
  <c r="H40" i="2" s="1"/>
  <c r="I40" i="2" s="1"/>
  <c r="B42" i="2" l="1"/>
  <c r="F42" i="2" s="1"/>
  <c r="C42" i="2"/>
  <c r="D41" i="2"/>
  <c r="K46" i="2"/>
  <c r="O46" i="2" s="1"/>
  <c r="M45" i="2"/>
  <c r="W44" i="2"/>
  <c r="Z44" i="2" s="1"/>
  <c r="AA44" i="2" s="1"/>
  <c r="U45" i="2"/>
  <c r="V45" i="2" l="1"/>
  <c r="T46" i="2"/>
  <c r="X46" i="2" s="1"/>
  <c r="U46" i="2"/>
  <c r="N45" i="2"/>
  <c r="Q45" i="2"/>
  <c r="R45" i="2" s="1"/>
  <c r="L46" i="2"/>
  <c r="H41" i="2"/>
  <c r="I41" i="2" s="1"/>
  <c r="E41" i="2"/>
  <c r="B43" i="2"/>
  <c r="F43" i="2" s="1"/>
  <c r="D42" i="2"/>
  <c r="E42" i="2" l="1"/>
  <c r="H42" i="2" s="1"/>
  <c r="I42" i="2" s="1"/>
  <c r="M46" i="2"/>
  <c r="K47" i="2"/>
  <c r="O47" i="2" s="1"/>
  <c r="C43" i="2"/>
  <c r="V46" i="2"/>
  <c r="T47" i="2"/>
  <c r="X47" i="2" s="1"/>
  <c r="W45" i="2"/>
  <c r="Z45" i="2" s="1"/>
  <c r="AA45" i="2" s="1"/>
  <c r="L47" i="2" l="1"/>
  <c r="N46" i="2"/>
  <c r="Q46" i="2"/>
  <c r="R46" i="2" s="1"/>
  <c r="B44" i="2"/>
  <c r="F44" i="2" s="1"/>
  <c r="D43" i="2"/>
  <c r="W46" i="2"/>
  <c r="Z46" i="2" s="1"/>
  <c r="AA46" i="2" s="1"/>
  <c r="U47" i="2"/>
  <c r="C44" i="2" l="1"/>
  <c r="E43" i="2"/>
  <c r="H43" i="2"/>
  <c r="I43" i="2" s="1"/>
  <c r="M47" i="2"/>
  <c r="K48" i="2"/>
  <c r="O48" i="2" s="1"/>
  <c r="V47" i="2"/>
  <c r="T48" i="2"/>
  <c r="X48" i="2" s="1"/>
  <c r="U48" i="2" l="1"/>
  <c r="W47" i="2"/>
  <c r="Z47" i="2"/>
  <c r="AA47" i="2" s="1"/>
  <c r="Q47" i="2"/>
  <c r="R47" i="2" s="1"/>
  <c r="N47" i="2"/>
  <c r="L48" i="2"/>
  <c r="D44" i="2"/>
  <c r="B45" i="2"/>
  <c r="F45" i="2" s="1"/>
  <c r="V48" i="2" l="1"/>
  <c r="T49" i="2"/>
  <c r="X49" i="2" s="1"/>
  <c r="U49" i="2"/>
  <c r="C45" i="2"/>
  <c r="E44" i="2"/>
  <c r="H44" i="2"/>
  <c r="I44" i="2" s="1"/>
  <c r="K49" i="2"/>
  <c r="O49" i="2" s="1"/>
  <c r="M48" i="2"/>
  <c r="L49" i="2"/>
  <c r="W48" i="2" l="1"/>
  <c r="Z48" i="2" s="1"/>
  <c r="AA48" i="2" s="1"/>
  <c r="K50" i="2"/>
  <c r="O50" i="2" s="1"/>
  <c r="L50" i="2"/>
  <c r="M49" i="2"/>
  <c r="N48" i="2"/>
  <c r="Q48" i="2" s="1"/>
  <c r="R48" i="2" s="1"/>
  <c r="C46" i="2"/>
  <c r="D45" i="2"/>
  <c r="B46" i="2"/>
  <c r="F46" i="2" s="1"/>
  <c r="V49" i="2"/>
  <c r="T50" i="2"/>
  <c r="X50" i="2" s="1"/>
  <c r="W49" i="2" l="1"/>
  <c r="Z49" i="2" s="1"/>
  <c r="AA49" i="2" s="1"/>
  <c r="U50" i="2"/>
  <c r="M50" i="2"/>
  <c r="K51" i="2"/>
  <c r="O51" i="2" s="1"/>
  <c r="E45" i="2"/>
  <c r="H45" i="2" s="1"/>
  <c r="I45" i="2" s="1"/>
  <c r="B47" i="2"/>
  <c r="F47" i="2" s="1"/>
  <c r="C47" i="2"/>
  <c r="D46" i="2"/>
  <c r="Q49" i="2"/>
  <c r="R49" i="2" s="1"/>
  <c r="N49" i="2"/>
  <c r="L51" i="2" l="1"/>
  <c r="T51" i="2"/>
  <c r="X51" i="2" s="1"/>
  <c r="V50" i="2"/>
  <c r="D47" i="2"/>
  <c r="B48" i="2"/>
  <c r="F48" i="2" s="1"/>
  <c r="E46" i="2"/>
  <c r="H46" i="2" s="1"/>
  <c r="I46" i="2" s="1"/>
  <c r="N50" i="2"/>
  <c r="Q50" i="2" s="1"/>
  <c r="R50" i="2" s="1"/>
  <c r="W50" i="2" l="1"/>
  <c r="Z50" i="2" s="1"/>
  <c r="AA50" i="2" s="1"/>
  <c r="U51" i="2"/>
  <c r="E47" i="2"/>
  <c r="H47" i="2"/>
  <c r="I47" i="2" s="1"/>
  <c r="C48" i="2"/>
  <c r="K52" i="2"/>
  <c r="O52" i="2" s="1"/>
  <c r="M51" i="2"/>
  <c r="N51" i="2" l="1"/>
  <c r="Q51" i="2" s="1"/>
  <c r="R51" i="2" s="1"/>
  <c r="L52" i="2"/>
  <c r="B49" i="2"/>
  <c r="F49" i="2" s="1"/>
  <c r="D48" i="2"/>
  <c r="C49" i="2"/>
  <c r="T52" i="2"/>
  <c r="X52" i="2" s="1"/>
  <c r="V51" i="2"/>
  <c r="E48" i="2" l="1"/>
  <c r="H48" i="2" s="1"/>
  <c r="I48" i="2" s="1"/>
  <c r="W51" i="2"/>
  <c r="Z51" i="2" s="1"/>
  <c r="AA51" i="2" s="1"/>
  <c r="D49" i="2"/>
  <c r="B50" i="2"/>
  <c r="F50" i="2" s="1"/>
  <c r="U52" i="2"/>
  <c r="M52" i="2"/>
  <c r="K53" i="2"/>
  <c r="O53" i="2" s="1"/>
  <c r="N52" i="2" l="1"/>
  <c r="Q52" i="2"/>
  <c r="R52" i="2" s="1"/>
  <c r="T53" i="2"/>
  <c r="X53" i="2" s="1"/>
  <c r="V52" i="2"/>
  <c r="E49" i="2"/>
  <c r="H49" i="2"/>
  <c r="I49" i="2" s="1"/>
  <c r="C50" i="2"/>
  <c r="L53" i="2"/>
  <c r="M53" i="2" l="1"/>
  <c r="K54" i="2"/>
  <c r="O54" i="2" s="1"/>
  <c r="B51" i="2"/>
  <c r="F51" i="2" s="1"/>
  <c r="D50" i="2"/>
  <c r="C51" i="2"/>
  <c r="Z52" i="2"/>
  <c r="AA52" i="2" s="1"/>
  <c r="W52" i="2"/>
  <c r="U53" i="2"/>
  <c r="V53" i="2" l="1"/>
  <c r="T54" i="2"/>
  <c r="X54" i="2" s="1"/>
  <c r="D51" i="2"/>
  <c r="B52" i="2"/>
  <c r="F52" i="2" s="1"/>
  <c r="E50" i="2"/>
  <c r="H50" i="2"/>
  <c r="I50" i="2" s="1"/>
  <c r="L54" i="2"/>
  <c r="N53" i="2"/>
  <c r="Q53" i="2" s="1"/>
  <c r="R53" i="2" s="1"/>
  <c r="M54" i="2" l="1"/>
  <c r="K55" i="2"/>
  <c r="O55" i="2" s="1"/>
  <c r="C52" i="2"/>
  <c r="E51" i="2"/>
  <c r="H51" i="2"/>
  <c r="I51" i="2" s="1"/>
  <c r="U54" i="2"/>
  <c r="W53" i="2"/>
  <c r="Z53" i="2" s="1"/>
  <c r="AA53" i="2" s="1"/>
  <c r="T55" i="2" l="1"/>
  <c r="X55" i="2" s="1"/>
  <c r="V54" i="2"/>
  <c r="B53" i="2"/>
  <c r="F53" i="2" s="1"/>
  <c r="D52" i="2"/>
  <c r="N54" i="2"/>
  <c r="Q54" i="2" s="1"/>
  <c r="R54" i="2" s="1"/>
  <c r="L55" i="2"/>
  <c r="K56" i="2" l="1"/>
  <c r="O56" i="2" s="1"/>
  <c r="L56" i="2"/>
  <c r="M55" i="2"/>
  <c r="E52" i="2"/>
  <c r="H52" i="2" s="1"/>
  <c r="I52" i="2" s="1"/>
  <c r="C53" i="2"/>
  <c r="W54" i="2"/>
  <c r="Z54" i="2"/>
  <c r="AA54" i="2" s="1"/>
  <c r="U55" i="2"/>
  <c r="V55" i="2" l="1"/>
  <c r="T56" i="2"/>
  <c r="X56" i="2" s="1"/>
  <c r="U56" i="2"/>
  <c r="B54" i="2"/>
  <c r="F54" i="2" s="1"/>
  <c r="D53" i="2"/>
  <c r="C54" i="2"/>
  <c r="N55" i="2"/>
  <c r="Q55" i="2" s="1"/>
  <c r="R55" i="2" s="1"/>
  <c r="K57" i="2"/>
  <c r="O57" i="2" s="1"/>
  <c r="M56" i="2"/>
  <c r="L57" i="2"/>
  <c r="K58" i="2" l="1"/>
  <c r="O58" i="2" s="1"/>
  <c r="M57" i="2"/>
  <c r="N56" i="2"/>
  <c r="Q56" i="2" s="1"/>
  <c r="R56" i="2" s="1"/>
  <c r="B55" i="2"/>
  <c r="F55" i="2" s="1"/>
  <c r="D54" i="2"/>
  <c r="E53" i="2"/>
  <c r="H53" i="2" s="1"/>
  <c r="I53" i="2" s="1"/>
  <c r="T57" i="2"/>
  <c r="X57" i="2" s="1"/>
  <c r="V56" i="2"/>
  <c r="W55" i="2"/>
  <c r="Z55" i="2" s="1"/>
  <c r="AA55" i="2" s="1"/>
  <c r="W56" i="2" l="1"/>
  <c r="Z56" i="2" s="1"/>
  <c r="AA56" i="2" s="1"/>
  <c r="U57" i="2"/>
  <c r="E54" i="2"/>
  <c r="H54" i="2" s="1"/>
  <c r="I54" i="2" s="1"/>
  <c r="C55" i="2"/>
  <c r="N57" i="2"/>
  <c r="Q57" i="2"/>
  <c r="R57" i="2" s="1"/>
  <c r="L58" i="2"/>
  <c r="K59" i="2" l="1"/>
  <c r="O59" i="2" s="1"/>
  <c r="M58" i="2"/>
  <c r="B56" i="2"/>
  <c r="F56" i="2" s="1"/>
  <c r="D55" i="2"/>
  <c r="C56" i="2"/>
  <c r="T58" i="2"/>
  <c r="X58" i="2" s="1"/>
  <c r="U58" i="2"/>
  <c r="V57" i="2"/>
  <c r="W57" i="2" l="1"/>
  <c r="Z57" i="2" s="1"/>
  <c r="AA57" i="2" s="1"/>
  <c r="T59" i="2"/>
  <c r="X59" i="2" s="1"/>
  <c r="V58" i="2"/>
  <c r="B57" i="2"/>
  <c r="F57" i="2" s="1"/>
  <c r="D56" i="2"/>
  <c r="E55" i="2"/>
  <c r="H55" i="2" s="1"/>
  <c r="I55" i="2" s="1"/>
  <c r="N58" i="2"/>
  <c r="Q58" i="2" s="1"/>
  <c r="R58" i="2" s="1"/>
  <c r="L59" i="2"/>
  <c r="K60" i="2" l="1"/>
  <c r="O60" i="2" s="1"/>
  <c r="M59" i="2"/>
  <c r="E56" i="2"/>
  <c r="H56" i="2" s="1"/>
  <c r="I56" i="2" s="1"/>
  <c r="C57" i="2"/>
  <c r="W58" i="2"/>
  <c r="Z58" i="2"/>
  <c r="AA58" i="2" s="1"/>
  <c r="U59" i="2"/>
  <c r="T60" i="2" l="1"/>
  <c r="X60" i="2" s="1"/>
  <c r="V59" i="2"/>
  <c r="B58" i="2"/>
  <c r="F58" i="2" s="1"/>
  <c r="D57" i="2"/>
  <c r="C58" i="2"/>
  <c r="N59" i="2"/>
  <c r="Q59" i="2"/>
  <c r="R59" i="2" s="1"/>
  <c r="L60" i="2"/>
  <c r="M60" i="2" l="1"/>
  <c r="K61" i="2"/>
  <c r="O61" i="2" s="1"/>
  <c r="D58" i="2"/>
  <c r="B59" i="2"/>
  <c r="F59" i="2" s="1"/>
  <c r="E57" i="2"/>
  <c r="H57" i="2" s="1"/>
  <c r="I57" i="2" s="1"/>
  <c r="W59" i="2"/>
  <c r="Z59" i="2"/>
  <c r="AA59" i="2" s="1"/>
  <c r="U60" i="2"/>
  <c r="V60" i="2" l="1"/>
  <c r="T61" i="2"/>
  <c r="X61" i="2" s="1"/>
  <c r="C59" i="2"/>
  <c r="E58" i="2"/>
  <c r="H58" i="2" s="1"/>
  <c r="I58" i="2" s="1"/>
  <c r="L61" i="2"/>
  <c r="N60" i="2"/>
  <c r="Q60" i="2"/>
  <c r="R60" i="2" s="1"/>
  <c r="M61" i="2" l="1"/>
  <c r="K62" i="2"/>
  <c r="O62" i="2" s="1"/>
  <c r="B60" i="2"/>
  <c r="F60" i="2" s="1"/>
  <c r="D59" i="2"/>
  <c r="U61" i="2"/>
  <c r="W60" i="2"/>
  <c r="Z60" i="2" s="1"/>
  <c r="AA60" i="2" s="1"/>
  <c r="T62" i="2" l="1"/>
  <c r="X62" i="2" s="1"/>
  <c r="V61" i="2"/>
  <c r="E59" i="2"/>
  <c r="H59" i="2" s="1"/>
  <c r="I59" i="2" s="1"/>
  <c r="C60" i="2"/>
  <c r="N61" i="2"/>
  <c r="Q61" i="2" s="1"/>
  <c r="R61" i="2" s="1"/>
  <c r="L62" i="2"/>
  <c r="K63" i="2" l="1"/>
  <c r="O63" i="2" s="1"/>
  <c r="L63" i="2"/>
  <c r="M62" i="2"/>
  <c r="B61" i="2"/>
  <c r="F61" i="2" s="1"/>
  <c r="D60" i="2"/>
  <c r="C61" i="2"/>
  <c r="W61" i="2"/>
  <c r="Z61" i="2"/>
  <c r="AA61" i="2" s="1"/>
  <c r="U62" i="2"/>
  <c r="V62" i="2" l="1"/>
  <c r="T63" i="2"/>
  <c r="X63" i="2" s="1"/>
  <c r="B62" i="2"/>
  <c r="F62" i="2" s="1"/>
  <c r="D61" i="2"/>
  <c r="E60" i="2"/>
  <c r="H60" i="2" s="1"/>
  <c r="I60" i="2" s="1"/>
  <c r="N62" i="2"/>
  <c r="Q62" i="2" s="1"/>
  <c r="R62" i="2" s="1"/>
  <c r="M63" i="2"/>
  <c r="K64" i="2"/>
  <c r="O64" i="2" s="1"/>
  <c r="L64" i="2" l="1"/>
  <c r="M64" i="2" s="1"/>
  <c r="N63" i="2"/>
  <c r="Q63" i="2"/>
  <c r="R63" i="2" s="1"/>
  <c r="E61" i="2"/>
  <c r="H61" i="2" s="1"/>
  <c r="I61" i="2" s="1"/>
  <c r="C62" i="2"/>
  <c r="U63" i="2"/>
  <c r="W62" i="2"/>
  <c r="Z62" i="2"/>
  <c r="AA62" i="2" s="1"/>
  <c r="T64" i="2" l="1"/>
  <c r="X64" i="2" s="1"/>
  <c r="V63" i="2"/>
  <c r="D62" i="2"/>
  <c r="B63" i="2"/>
  <c r="F63" i="2" s="1"/>
  <c r="N64" i="2"/>
  <c r="Q64" i="2" s="1"/>
  <c r="R64" i="2" s="1"/>
  <c r="D6" i="3" l="1"/>
  <c r="C6" i="3"/>
  <c r="C63" i="2"/>
  <c r="E62" i="2"/>
  <c r="H62" i="2" s="1"/>
  <c r="I62" i="2" s="1"/>
  <c r="W63" i="2"/>
  <c r="Z63" i="2" s="1"/>
  <c r="AA63" i="2" s="1"/>
  <c r="U64" i="2"/>
  <c r="V64" i="2" s="1"/>
  <c r="W64" i="2" l="1"/>
  <c r="Z64" i="2" s="1"/>
  <c r="AA64" i="2" s="1"/>
  <c r="D63" i="2"/>
  <c r="B64" i="2"/>
  <c r="F64" i="2" s="1"/>
  <c r="D7" i="3" l="1"/>
  <c r="C7" i="3"/>
  <c r="E63" i="2"/>
  <c r="H63" i="2" s="1"/>
  <c r="I63" i="2" s="1"/>
  <c r="C64" i="2"/>
  <c r="D64" i="2" s="1"/>
  <c r="E64" i="2" l="1"/>
  <c r="H64" i="2"/>
  <c r="I64" i="2" s="1"/>
  <c r="D5" i="3" l="1"/>
  <c r="C5" i="3"/>
</calcChain>
</file>

<file path=xl/sharedStrings.xml><?xml version="1.0" encoding="utf-8"?>
<sst xmlns="http://schemas.openxmlformats.org/spreadsheetml/2006/main" count="76" uniqueCount="60">
  <si>
    <t>WALKAN — Supuestos del modelo de recuperación de inversión</t>
  </si>
  <si>
    <t>Celdas amarillas = editables. Óptica: Walkan (negocio SaaS). Moneda: CLP.</t>
  </si>
  <si>
    <t>PLANES (CLP/mes)</t>
  </si>
  <si>
    <t xml:space="preserve">  Precio Kiosko</t>
  </si>
  <si>
    <t xml:space="preserve">  Precio Minimarket</t>
  </si>
  <si>
    <t xml:space="preserve">  Precio Minisúper</t>
  </si>
  <si>
    <t>MEZCLA DE CLIENTES POR PLAN</t>
  </si>
  <si>
    <t xml:space="preserve">  % Kiosko</t>
  </si>
  <si>
    <t xml:space="preserve">  % Minimarket</t>
  </si>
  <si>
    <t xml:space="preserve">  % Minisúper</t>
  </si>
  <si>
    <t xml:space="preserve">  Suma (debe ser 100%)</t>
  </si>
  <si>
    <t xml:space="preserve">  ARPU (ingreso medio por cliente/mes)</t>
  </si>
  <si>
    <t>Promedio ponderado por la mezcla</t>
  </si>
  <si>
    <t>INVERSIÓN INICIAL — DESARROLLO</t>
  </si>
  <si>
    <t xml:space="preserve">  Integrantes</t>
  </si>
  <si>
    <t xml:space="preserve">  Meses de desarrollo</t>
  </si>
  <si>
    <t xml:space="preserve">  Sueldo mensual (ref. mercado)</t>
  </si>
  <si>
    <t xml:space="preserve">  Inversión en desarrollo</t>
  </si>
  <si>
    <t>Valorización de horas del equipo (supuesto)</t>
  </si>
  <si>
    <t>COSTOS</t>
  </si>
  <si>
    <t xml:space="preserve">  Hardware por caja regalada</t>
  </si>
  <si>
    <t>TV Box + impresora térmica + lector</t>
  </si>
  <si>
    <t xml:space="preserve">  VPS mensual</t>
  </si>
  <si>
    <t xml:space="preserve">  Dominio anual</t>
  </si>
  <si>
    <t xml:space="preserve">  Opex mensual (VPS + dominio)</t>
  </si>
  <si>
    <t xml:space="preserve">  Comisión Flow</t>
  </si>
  <si>
    <t>Por transacción, sobre el cobro</t>
  </si>
  <si>
    <t xml:space="preserve">  IVA</t>
  </si>
  <si>
    <t xml:space="preserve">  Comisión Flow efectiva (c/IVA)</t>
  </si>
  <si>
    <t>CRECIMIENTO (clientes nuevos por mes)</t>
  </si>
  <si>
    <t xml:space="preserve">  Escenario conservador</t>
  </si>
  <si>
    <t xml:space="preserve">  Escenario realista</t>
  </si>
  <si>
    <t xml:space="preserve">  Escenario optimista</t>
  </si>
  <si>
    <t xml:space="preserve">  Tope de clientes (1ª caja incluida)</t>
  </si>
  <si>
    <t xml:space="preserve">  Horizonte del modelo (meses)</t>
  </si>
  <si>
    <t>WALKAN — Proyección mensual de flujo (óptica Walkan)</t>
  </si>
  <si>
    <t>Mes 0 = inversión inicial en desarrollo. Cifras en CLP.</t>
  </si>
  <si>
    <t>CONSERVADOR</t>
  </si>
  <si>
    <t>REALISTA</t>
  </si>
  <si>
    <t>OPTIMISTA</t>
  </si>
  <si>
    <t>Mes</t>
  </si>
  <si>
    <t>Nuevos</t>
  </si>
  <si>
    <t>Activos</t>
  </si>
  <si>
    <t>Ingresos</t>
  </si>
  <si>
    <t>Comisión Flow</t>
  </si>
  <si>
    <t>Hardware</t>
  </si>
  <si>
    <t>Opex</t>
  </si>
  <si>
    <t>Flujo neto</t>
  </si>
  <si>
    <t>Flujo acumulado</t>
  </si>
  <si>
    <t>WALKAN — Recuperación de inversión: resultados</t>
  </si>
  <si>
    <t>¿En cuántos meses el flujo acumulado de Walkan vuelve a cero (payback)?</t>
  </si>
  <si>
    <t>Escenario</t>
  </si>
  <si>
    <t>Clientes nuevos/mes</t>
  </si>
  <si>
    <t>Mes de recuperación</t>
  </si>
  <si>
    <t>Flujo acumulado al mes 60</t>
  </si>
  <si>
    <t>Ingreso mensual en régimen (100 clientes)</t>
  </si>
  <si>
    <t>Conservador</t>
  </si>
  <si>
    <t>Realista</t>
  </si>
  <si>
    <t>Optimista</t>
  </si>
  <si>
    <t>Nota: el 'mes de recuperación' es el primer mes en que el flujo acumulado (ingresos − comisión Flow − hardware regalado − opex − inversión inicial) deja de ser negativo. Todos los supuestos son editables en la hoja Supuestos.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</si>
</sst>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\$#,##0;&quot;($&quot;#,##0\);\-"/>
    <numFmt numFmtId="165" formatCode="0.0%"/>
  </numFmts>
  <fonts count="15" x14ac:knownFonts="1">
    <font>
      <sz val="11"/>
      <color theme="1"/>
      <name val="Calibri"/>
      <family val="2"/>
      <charset val="1"/>
    </font>
    <font>
      <b/>
      <sz val="14"/>
      <color rgb="FF1F3864"/>
      <name val="Arial"/>
      <charset val="1"/>
    </font>
    <font>
      <i/>
      <sz val="9"/>
      <color rgb="FF808080"/>
      <name val="Arial"/>
      <charset val="1"/>
    </font>
    <font>
      <b/>
      <sz val="10"/>
      <color rgb="FF1F3864"/>
      <name val="Arial"/>
      <charset val="1"/>
    </font>
    <font>
      <sz val="10"/>
      <color rgb="FF000000"/>
      <name val="Arial"/>
      <charset val="1"/>
    </font>
    <font>
      <b/>
      <sz val="10"/>
      <color rgb="FF0000FF"/>
      <name val="Arial"/>
      <charset val="1"/>
    </font>
    <font>
      <b/>
      <sz val="10"/>
      <color rgb="FF000000"/>
      <name val="Arial"/>
      <charset val="1"/>
    </font>
    <font>
      <b/>
      <sz val="13"/>
      <color rgb="FF1F3864"/>
      <name val="Arial"/>
      <charset val="1"/>
    </font>
    <font>
      <b/>
      <sz val="9"/>
      <color rgb="FFFFFFFF"/>
      <name val="Arial"/>
      <charset val="1"/>
    </font>
    <font>
      <b/>
      <sz val="8"/>
      <color rgb="FFFFFFFF"/>
      <name val="Arial"/>
      <charset val="1"/>
    </font>
    <font>
      <sz val="9"/>
      <name val="Arial"/>
      <charset val="1"/>
    </font>
    <font>
      <sz val="8"/>
      <name val="Arial"/>
      <charset val="1"/>
    </font>
    <font>
      <b/>
      <sz val="10"/>
      <name val="Arial"/>
      <charset val="1"/>
    </font>
    <font>
      <sz val="10"/>
      <name val="Arial"/>
      <charset val="1"/>
    </font>
    <font>
      <i/>
      <sz val="8"/>
      <color rgb="FF808080"/>
      <name val="Arial"/>
      <charset val="1"/>
    </font>
  </fonts>
  <fills count="5">
    <fill>
      <patternFill patternType="none"/>
    </fill>
    <fill>
      <patternFill patternType="gray125"/>
    </fill>
    <fill>
      <patternFill patternType="solid">
        <fgColor rgb="FFFFF2CC"/>
        <bgColor rgb="FFFFFFFF"/>
      </patternFill>
    </fill>
    <fill>
      <patternFill patternType="solid">
        <fgColor rgb="FFD9E1F2"/>
        <bgColor rgb="FFD9D9D9"/>
      </patternFill>
    </fill>
    <fill>
      <patternFill patternType="solid">
        <fgColor rgb="FF1F3864"/>
        <bgColor rgb="FF333333"/>
      </patternFill>
    </fill>
  </fills>
  <borders count="2">
    <border>
      <left/>
      <right/>
      <top/>
      <bottom/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1">
    <xf numFmtId="0" fontId="0" fillId="0" borderId="0"/>
  </cellStyleXfs>
  <cellXfs count="24">
    <xf numFmtId="0" fontId="0" fillId="0" borderId="0" xfId="0"/>
    <xf numFmtId="0" fontId="14" fillId="0" borderId="0" xfId="0" applyFont="1" applyAlignment="1">
      <alignment vertical="top" wrapText="1"/>
    </xf>
    <xf numFmtId="0" fontId="3" fillId="3" borderId="0" xfId="0" applyFont="1" applyFill="1" applyAlignment="1">
      <alignment horizontal="center"/>
    </xf>
    <xf numFmtId="0" fontId="2" fillId="0" borderId="0" xfId="0" applyFont="1"/>
    <xf numFmtId="0" fontId="1" fillId="0" borderId="0" xfId="0" applyFont="1"/>
    <xf numFmtId="0" fontId="2" fillId="0" borderId="0" xfId="0" applyFont="1"/>
    <xf numFmtId="0" fontId="3" fillId="0" borderId="0" xfId="0" applyFont="1"/>
    <xf numFmtId="0" fontId="4" fillId="0" borderId="0" xfId="0" applyFont="1"/>
    <xf numFmtId="164" fontId="5" fillId="2" borderId="1" xfId="0" applyNumberFormat="1" applyFont="1" applyFill="1" applyBorder="1" applyAlignment="1">
      <alignment horizontal="right"/>
    </xf>
    <xf numFmtId="165" fontId="5" fillId="2" borderId="1" xfId="0" applyNumberFormat="1" applyFont="1" applyFill="1" applyBorder="1" applyAlignment="1">
      <alignment horizontal="right"/>
    </xf>
    <xf numFmtId="165" fontId="6" fillId="0" borderId="1" xfId="0" applyNumberFormat="1" applyFont="1" applyBorder="1" applyAlignment="1">
      <alignment horizontal="right"/>
    </xf>
    <xf numFmtId="164" fontId="6" fillId="0" borderId="1" xfId="0" applyNumberFormat="1" applyFont="1" applyBorder="1" applyAlignment="1">
      <alignment horizontal="right"/>
    </xf>
    <xf numFmtId="1" fontId="5" fillId="2" borderId="1" xfId="0" applyNumberFormat="1" applyFont="1" applyFill="1" applyBorder="1" applyAlignment="1">
      <alignment horizontal="right"/>
    </xf>
    <xf numFmtId="0" fontId="7" fillId="0" borderId="0" xfId="0" applyFont="1"/>
    <xf numFmtId="0" fontId="8" fillId="4" borderId="1" xfId="0" applyFont="1" applyFill="1" applyBorder="1" applyAlignment="1">
      <alignment horizontal="center"/>
    </xf>
    <xf numFmtId="0" fontId="9" fillId="4" borderId="1" xfId="0" applyFont="1" applyFill="1" applyBorder="1" applyAlignment="1">
      <alignment horizontal="center" wrapText="1"/>
    </xf>
    <xf numFmtId="0" fontId="10" fillId="0" borderId="1" xfId="0" applyFont="1" applyBorder="1" applyAlignment="1">
      <alignment horizontal="center"/>
    </xf>
    <xf numFmtId="1" fontId="11" fillId="0" borderId="1" xfId="0" applyNumberFormat="1" applyFont="1" applyBorder="1"/>
    <xf numFmtId="164" fontId="11" fillId="0" borderId="1" xfId="0" applyNumberFormat="1" applyFont="1" applyBorder="1"/>
    <xf numFmtId="0" fontId="8" fillId="4" borderId="1" xfId="0" applyFont="1" applyFill="1" applyBorder="1" applyAlignment="1">
      <alignment horizontal="center" wrapText="1"/>
    </xf>
    <xf numFmtId="0" fontId="12" fillId="0" borderId="1" xfId="0" applyFont="1" applyBorder="1"/>
    <xf numFmtId="1" fontId="13" fillId="0" borderId="1" xfId="0" applyNumberFormat="1" applyFont="1" applyBorder="1" applyAlignment="1">
      <alignment horizontal="center"/>
    </xf>
    <xf numFmtId="0" fontId="12" fillId="0" borderId="1" xfId="0" applyFont="1" applyBorder="1" applyAlignment="1">
      <alignment horizontal="center"/>
    </xf>
    <xf numFmtId="164" fontId="13" fillId="0" borderId="1" xfId="0" applyNumberFormat="1" applyFont="1" applyBorder="1"/>
  </cellXfs>
  <cellStyles count="1">
    <cellStyle name="Normal" xfId="0" builtinId="0"/>
  </cellStyles>
  <dxfs count="0"/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FBFBF"/>
      <rgbColor rgb="FF808080"/>
      <rgbColor rgb="FF9999FF"/>
      <rgbColor rgb="FFBE4B48"/>
      <rgbColor rgb="FFFFF2CC"/>
      <rgbColor rgb="FFD9E1F2"/>
      <rgbColor rgb="FF660066"/>
      <rgbColor rgb="FFFF8080"/>
      <rgbColor rgb="FF0066CC"/>
      <rgbColor rgb="FFD9D9D9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8B855"/>
      <rgbColor rgb="FFFFCC00"/>
      <rgbColor rgb="FFFF9900"/>
      <rgbColor rgb="FFFF6600"/>
      <rgbColor rgb="FF4A7EBB"/>
      <rgbColor rgb="FF878787"/>
      <rgbColor rgb="FF1F3864"/>
      <rgbColor rgb="FF339966"/>
      <rgbColor rgb="FF003300"/>
      <rgbColor rgb="FF333300"/>
      <rgbColor rgb="FF993300"/>
      <rgbColor rgb="FF993366"/>
      <rgbColor rgb="FF333399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c:style val="2"/>
  <c:chart>
    <c:title>
      <c:tx>
        <c:rich>
          <a:bodyPr rot="0"/>
          <a:lstStyle/>
          <a:p>
            <a:pPr>
              <a:defRPr sz="1800" b="1" strike="noStrike" spc="-1">
                <a:solidFill>
                  <a:srgbClr val="000000"/>
                </a:solidFill>
                <a:latin typeface="Calibri"/>
              </a:defRPr>
            </a:pPr>
            <a:r>
              <a:rPr lang="es-CL" sz="1800" b="1" strike="noStrike" spc="-1">
                <a:solidFill>
                  <a:srgbClr val="000000"/>
                </a:solidFill>
                <a:latin typeface="Calibri"/>
              </a:rPr>
              <a:t>Flujo acumulado de Walkan por escenario (CLP)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v>Conservador</c:v>
          </c:tx>
          <c:spPr>
            <a:ln w="21960">
              <a:solidFill>
                <a:srgbClr val="4A7EBB"/>
              </a:solidFill>
              <a:round/>
            </a:ln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wrap="none"/>
              <a:lstStyle/>
              <a:p>
                <a:pPr>
                  <a:defRPr sz="1000" b="0" strike="noStrike" spc="-1">
                    <a:latin typeface="Arial"/>
                  </a:defRPr>
                </a:pPr>
                <a:endParaRPr lang="es-CL"/>
              </a:p>
            </c:txPr>
            <c:showLegendKey val="0"/>
            <c:showVal val="0"/>
            <c:showCatName val="0"/>
            <c:showSerName val="0"/>
            <c:showPercent val="0"/>
            <c:showBubbleSize val="1"/>
            <c:separator> </c:separator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numRef>
              <c:f>Proyeccion!$A$5:$A$64</c:f>
              <c:numCache>
                <c:formatCode>General</c:formatCode>
                <c:ptCount val="6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  <c:pt idx="40">
                  <c:v>41</c:v>
                </c:pt>
                <c:pt idx="41">
                  <c:v>42</c:v>
                </c:pt>
                <c:pt idx="42">
                  <c:v>43</c:v>
                </c:pt>
                <c:pt idx="43">
                  <c:v>44</c:v>
                </c:pt>
                <c:pt idx="44">
                  <c:v>45</c:v>
                </c:pt>
                <c:pt idx="45">
                  <c:v>46</c:v>
                </c:pt>
                <c:pt idx="46">
                  <c:v>47</c:v>
                </c:pt>
                <c:pt idx="47">
                  <c:v>48</c:v>
                </c:pt>
                <c:pt idx="48">
                  <c:v>49</c:v>
                </c:pt>
                <c:pt idx="49">
                  <c:v>50</c:v>
                </c:pt>
                <c:pt idx="50">
                  <c:v>51</c:v>
                </c:pt>
                <c:pt idx="51">
                  <c:v>52</c:v>
                </c:pt>
                <c:pt idx="52">
                  <c:v>53</c:v>
                </c:pt>
                <c:pt idx="53">
                  <c:v>54</c:v>
                </c:pt>
                <c:pt idx="54">
                  <c:v>55</c:v>
                </c:pt>
                <c:pt idx="55">
                  <c:v>56</c:v>
                </c:pt>
                <c:pt idx="56">
                  <c:v>57</c:v>
                </c:pt>
                <c:pt idx="57">
                  <c:v>58</c:v>
                </c:pt>
                <c:pt idx="58">
                  <c:v>59</c:v>
                </c:pt>
                <c:pt idx="59">
                  <c:v>60</c:v>
                </c:pt>
              </c:numCache>
            </c:numRef>
          </c:cat>
          <c:val>
            <c:numRef>
              <c:f>Proyeccion!$I$5:$I$64</c:f>
              <c:numCache>
                <c:formatCode>\$#,##0;"($"#,##0\);\-</c:formatCode>
                <c:ptCount val="60"/>
                <c:pt idx="0">
                  <c:v>-8114352.9008400002</c:v>
                </c:pt>
                <c:pt idx="1">
                  <c:v>-8212058.7025199998</c:v>
                </c:pt>
                <c:pt idx="2">
                  <c:v>-8293117.4050399996</c:v>
                </c:pt>
                <c:pt idx="3">
                  <c:v>-8357529.0083999997</c:v>
                </c:pt>
                <c:pt idx="4">
                  <c:v>-8405293.5125999991</c:v>
                </c:pt>
                <c:pt idx="5">
                  <c:v>-8436410.9176399987</c:v>
                </c:pt>
                <c:pt idx="6">
                  <c:v>-8450881.2235199995</c:v>
                </c:pt>
                <c:pt idx="7">
                  <c:v>-8448704.4302399997</c:v>
                </c:pt>
                <c:pt idx="8">
                  <c:v>-8429880.5377999991</c:v>
                </c:pt>
                <c:pt idx="9">
                  <c:v>-8394409.5461999997</c:v>
                </c:pt>
                <c:pt idx="10">
                  <c:v>-8342291.4554399997</c:v>
                </c:pt>
                <c:pt idx="11">
                  <c:v>-8273526.2655199999</c:v>
                </c:pt>
                <c:pt idx="12">
                  <c:v>-8188113.9764400003</c:v>
                </c:pt>
                <c:pt idx="13">
                  <c:v>-8086054.5882000001</c:v>
                </c:pt>
                <c:pt idx="14">
                  <c:v>-7967348.1008000001</c:v>
                </c:pt>
                <c:pt idx="15">
                  <c:v>-7831994.5142400004</c:v>
                </c:pt>
                <c:pt idx="16">
                  <c:v>-7679993.82852</c:v>
                </c:pt>
                <c:pt idx="17">
                  <c:v>-7511346.0436399998</c:v>
                </c:pt>
                <c:pt idx="18">
                  <c:v>-7326051.1595999999</c:v>
                </c:pt>
                <c:pt idx="19">
                  <c:v>-7124109.1764000002</c:v>
                </c:pt>
                <c:pt idx="20">
                  <c:v>-6905520.0940399999</c:v>
                </c:pt>
                <c:pt idx="21">
                  <c:v>-6670283.9125199998</c:v>
                </c:pt>
                <c:pt idx="22">
                  <c:v>-6418400.6318399999</c:v>
                </c:pt>
                <c:pt idx="23">
                  <c:v>-6149870.2520000003</c:v>
                </c:pt>
                <c:pt idx="24">
                  <c:v>-5864692.773</c:v>
                </c:pt>
                <c:pt idx="25">
                  <c:v>-5562868.19484</c:v>
                </c:pt>
                <c:pt idx="26">
                  <c:v>-5244396.5175200002</c:v>
                </c:pt>
                <c:pt idx="27">
                  <c:v>-4909277.7410400007</c:v>
                </c:pt>
                <c:pt idx="28">
                  <c:v>-4557511.8654000005</c:v>
                </c:pt>
                <c:pt idx="29">
                  <c:v>-4189098.8906000005</c:v>
                </c:pt>
                <c:pt idx="30">
                  <c:v>-3804038.8166400003</c:v>
                </c:pt>
                <c:pt idx="31">
                  <c:v>-3402331.6435200004</c:v>
                </c:pt>
                <c:pt idx="32">
                  <c:v>-2983977.3712400002</c:v>
                </c:pt>
                <c:pt idx="33">
                  <c:v>-2548975.9998000003</c:v>
                </c:pt>
                <c:pt idx="34">
                  <c:v>-2097327.5292000002</c:v>
                </c:pt>
                <c:pt idx="35">
                  <c:v>-1629031.9594400004</c:v>
                </c:pt>
                <c:pt idx="36">
                  <c:v>-1144089.2905200003</c:v>
                </c:pt>
                <c:pt idx="37">
                  <c:v>-642499.52244000032</c:v>
                </c:pt>
                <c:pt idx="38">
                  <c:v>-124262.65520000027</c:v>
                </c:pt>
                <c:pt idx="39">
                  <c:v>410621.31119999976</c:v>
                </c:pt>
                <c:pt idx="40">
                  <c:v>962152.37675999978</c:v>
                </c:pt>
                <c:pt idx="41">
                  <c:v>1530330.5414799997</c:v>
                </c:pt>
                <c:pt idx="42">
                  <c:v>2115155.8053599996</c:v>
                </c:pt>
                <c:pt idx="43">
                  <c:v>2716628.1683999998</c:v>
                </c:pt>
                <c:pt idx="44">
                  <c:v>3334747.6305999998</c:v>
                </c:pt>
                <c:pt idx="45">
                  <c:v>3969514.19196</c:v>
                </c:pt>
                <c:pt idx="46">
                  <c:v>4620927.8524799999</c:v>
                </c:pt>
                <c:pt idx="47">
                  <c:v>5288988.61216</c:v>
                </c:pt>
                <c:pt idx="48">
                  <c:v>5973696.4709999999</c:v>
                </c:pt>
                <c:pt idx="49">
                  <c:v>6675051.4289999995</c:v>
                </c:pt>
                <c:pt idx="50">
                  <c:v>7393053.4861599999</c:v>
                </c:pt>
                <c:pt idx="51">
                  <c:v>8127702.6424799999</c:v>
                </c:pt>
                <c:pt idx="52">
                  <c:v>8878998.8979599997</c:v>
                </c:pt>
                <c:pt idx="53">
                  <c:v>9646942.2525999993</c:v>
                </c:pt>
                <c:pt idx="54">
                  <c:v>10431532.7064</c:v>
                </c:pt>
                <c:pt idx="55">
                  <c:v>11232770.25936</c:v>
                </c:pt>
                <c:pt idx="56">
                  <c:v>12050654.91148</c:v>
                </c:pt>
                <c:pt idx="57">
                  <c:v>12885186.662760001</c:v>
                </c:pt>
                <c:pt idx="58">
                  <c:v>13736365.5132</c:v>
                </c:pt>
                <c:pt idx="59">
                  <c:v>14604191.4628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36F6-41E8-803F-3FA501D87806}"/>
            </c:ext>
          </c:extLst>
        </c:ser>
        <c:ser>
          <c:idx val="1"/>
          <c:order val="1"/>
          <c:tx>
            <c:v>Realista</c:v>
          </c:tx>
          <c:spPr>
            <a:ln w="21960">
              <a:solidFill>
                <a:srgbClr val="BE4B48"/>
              </a:solidFill>
              <a:round/>
            </a:ln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wrap="none"/>
              <a:lstStyle/>
              <a:p>
                <a:pPr>
                  <a:defRPr sz="1000" b="0" strike="noStrike" spc="-1">
                    <a:latin typeface="Arial"/>
                  </a:defRPr>
                </a:pPr>
                <a:endParaRPr lang="es-CL"/>
              </a:p>
            </c:txPr>
            <c:showLegendKey val="0"/>
            <c:showVal val="0"/>
            <c:showCatName val="0"/>
            <c:showSerName val="0"/>
            <c:showPercent val="0"/>
            <c:showBubbleSize val="1"/>
            <c:separator> </c:separator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numRef>
              <c:f>Proyeccion!$A$5:$A$64</c:f>
              <c:numCache>
                <c:formatCode>General</c:formatCode>
                <c:ptCount val="6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  <c:pt idx="40">
                  <c:v>41</c:v>
                </c:pt>
                <c:pt idx="41">
                  <c:v>42</c:v>
                </c:pt>
                <c:pt idx="42">
                  <c:v>43</c:v>
                </c:pt>
                <c:pt idx="43">
                  <c:v>44</c:v>
                </c:pt>
                <c:pt idx="44">
                  <c:v>45</c:v>
                </c:pt>
                <c:pt idx="45">
                  <c:v>46</c:v>
                </c:pt>
                <c:pt idx="46">
                  <c:v>47</c:v>
                </c:pt>
                <c:pt idx="47">
                  <c:v>48</c:v>
                </c:pt>
                <c:pt idx="48">
                  <c:v>49</c:v>
                </c:pt>
                <c:pt idx="49">
                  <c:v>50</c:v>
                </c:pt>
                <c:pt idx="50">
                  <c:v>51</c:v>
                </c:pt>
                <c:pt idx="51">
                  <c:v>52</c:v>
                </c:pt>
                <c:pt idx="52">
                  <c:v>53</c:v>
                </c:pt>
                <c:pt idx="53">
                  <c:v>54</c:v>
                </c:pt>
                <c:pt idx="54">
                  <c:v>55</c:v>
                </c:pt>
                <c:pt idx="55">
                  <c:v>56</c:v>
                </c:pt>
                <c:pt idx="56">
                  <c:v>57</c:v>
                </c:pt>
                <c:pt idx="57">
                  <c:v>58</c:v>
                </c:pt>
                <c:pt idx="58">
                  <c:v>59</c:v>
                </c:pt>
                <c:pt idx="59">
                  <c:v>60</c:v>
                </c:pt>
              </c:numCache>
            </c:numRef>
          </c:cat>
          <c:val>
            <c:numRef>
              <c:f>Proyeccion!$R$5:$R$64</c:f>
              <c:numCache>
                <c:formatCode>\$#,##0;"($"#,##0\);\-</c:formatCode>
                <c:ptCount val="60"/>
                <c:pt idx="0">
                  <c:v>-8241058.7025199998</c:v>
                </c:pt>
                <c:pt idx="1">
                  <c:v>-8432176.1075599995</c:v>
                </c:pt>
                <c:pt idx="2">
                  <c:v>-8573352.2151199989</c:v>
                </c:pt>
                <c:pt idx="3">
                  <c:v>-8664587.0251999982</c:v>
                </c:pt>
                <c:pt idx="4">
                  <c:v>-8705880.5377999973</c:v>
                </c:pt>
                <c:pt idx="5">
                  <c:v>-8697232.752919998</c:v>
                </c:pt>
                <c:pt idx="6">
                  <c:v>-8638643.6705599986</c:v>
                </c:pt>
                <c:pt idx="7">
                  <c:v>-8530113.290719999</c:v>
                </c:pt>
                <c:pt idx="8">
                  <c:v>-8371641.6133999992</c:v>
                </c:pt>
                <c:pt idx="9">
                  <c:v>-8163228.6385999992</c:v>
                </c:pt>
                <c:pt idx="10">
                  <c:v>-7904874.3663199991</c:v>
                </c:pt>
                <c:pt idx="11">
                  <c:v>-7596578.7965599988</c:v>
                </c:pt>
                <c:pt idx="12">
                  <c:v>-7238341.9293199982</c:v>
                </c:pt>
                <c:pt idx="13">
                  <c:v>-6830163.7645999985</c:v>
                </c:pt>
                <c:pt idx="14">
                  <c:v>-6372044.3023999985</c:v>
                </c:pt>
                <c:pt idx="15">
                  <c:v>-5863983.5427199984</c:v>
                </c:pt>
                <c:pt idx="16">
                  <c:v>-5305981.4855599981</c:v>
                </c:pt>
                <c:pt idx="17">
                  <c:v>-4698038.1309199985</c:v>
                </c:pt>
                <c:pt idx="18">
                  <c:v>-4040153.4787999988</c:v>
                </c:pt>
                <c:pt idx="19">
                  <c:v>-3332327.5291999988</c:v>
                </c:pt>
                <c:pt idx="20">
                  <c:v>-2574560.2821199987</c:v>
                </c:pt>
                <c:pt idx="21">
                  <c:v>-1766851.7375599986</c:v>
                </c:pt>
                <c:pt idx="22">
                  <c:v>-909201.89551999862</c:v>
                </c:pt>
                <c:pt idx="23">
                  <c:v>-1610.7559999986552</c:v>
                </c:pt>
                <c:pt idx="24">
                  <c:v>955921.68100000126</c:v>
                </c:pt>
                <c:pt idx="25">
                  <c:v>1963395.4154800014</c:v>
                </c:pt>
                <c:pt idx="26">
                  <c:v>3020810.4474400012</c:v>
                </c:pt>
                <c:pt idx="27">
                  <c:v>4128166.7768800012</c:v>
                </c:pt>
                <c:pt idx="28">
                  <c:v>5285464.4038000014</c:v>
                </c:pt>
                <c:pt idx="29">
                  <c:v>6492703.3282000013</c:v>
                </c:pt>
                <c:pt idx="30">
                  <c:v>7749883.5500800014</c:v>
                </c:pt>
                <c:pt idx="31">
                  <c:v>9057005.0694400016</c:v>
                </c:pt>
                <c:pt idx="32">
                  <c:v>10414067.886280002</c:v>
                </c:pt>
                <c:pt idx="33">
                  <c:v>11947777.802280001</c:v>
                </c:pt>
                <c:pt idx="34">
                  <c:v>13561487.718280001</c:v>
                </c:pt>
                <c:pt idx="35">
                  <c:v>15175197.63428</c:v>
                </c:pt>
                <c:pt idx="36">
                  <c:v>16788907.550280001</c:v>
                </c:pt>
                <c:pt idx="37">
                  <c:v>18402617.466280002</c:v>
                </c:pt>
                <c:pt idx="38">
                  <c:v>20016327.382280003</c:v>
                </c:pt>
                <c:pt idx="39">
                  <c:v>21630037.298280004</c:v>
                </c:pt>
                <c:pt idx="40">
                  <c:v>23243747.214280006</c:v>
                </c:pt>
                <c:pt idx="41">
                  <c:v>24857457.130280007</c:v>
                </c:pt>
                <c:pt idx="42">
                  <c:v>26471167.046280008</c:v>
                </c:pt>
                <c:pt idx="43">
                  <c:v>28084876.962280009</c:v>
                </c:pt>
                <c:pt idx="44">
                  <c:v>29698586.87828001</c:v>
                </c:pt>
                <c:pt idx="45">
                  <c:v>31312296.794280011</c:v>
                </c:pt>
                <c:pt idx="46">
                  <c:v>32926006.710280012</c:v>
                </c:pt>
                <c:pt idx="47">
                  <c:v>34539716.62628001</c:v>
                </c:pt>
                <c:pt idx="48">
                  <c:v>36153426.542280011</c:v>
                </c:pt>
                <c:pt idx="49">
                  <c:v>37767136.458280012</c:v>
                </c:pt>
                <c:pt idx="50">
                  <c:v>39380846.374280013</c:v>
                </c:pt>
                <c:pt idx="51">
                  <c:v>40994556.290280014</c:v>
                </c:pt>
                <c:pt idx="52">
                  <c:v>42608266.206280015</c:v>
                </c:pt>
                <c:pt idx="53">
                  <c:v>44221976.122280017</c:v>
                </c:pt>
                <c:pt idx="54">
                  <c:v>45835686.038280018</c:v>
                </c:pt>
                <c:pt idx="55">
                  <c:v>47449395.954280019</c:v>
                </c:pt>
                <c:pt idx="56">
                  <c:v>49063105.87028002</c:v>
                </c:pt>
                <c:pt idx="57">
                  <c:v>50676815.786280021</c:v>
                </c:pt>
                <c:pt idx="58">
                  <c:v>52290525.702280022</c:v>
                </c:pt>
                <c:pt idx="59">
                  <c:v>53904235.618280023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36F6-41E8-803F-3FA501D87806}"/>
            </c:ext>
          </c:extLst>
        </c:ser>
        <c:ser>
          <c:idx val="2"/>
          <c:order val="2"/>
          <c:tx>
            <c:v>Optimista</c:v>
          </c:tx>
          <c:spPr>
            <a:ln w="21960">
              <a:solidFill>
                <a:srgbClr val="98B855"/>
              </a:solidFill>
              <a:round/>
            </a:ln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wrap="none"/>
              <a:lstStyle/>
              <a:p>
                <a:pPr>
                  <a:defRPr sz="1000" b="0" strike="noStrike" spc="-1">
                    <a:latin typeface="Arial"/>
                  </a:defRPr>
                </a:pPr>
                <a:endParaRPr lang="es-CL"/>
              </a:p>
            </c:txPr>
            <c:showLegendKey val="0"/>
            <c:showVal val="0"/>
            <c:showCatName val="0"/>
            <c:showSerName val="0"/>
            <c:showPercent val="0"/>
            <c:showBubbleSize val="1"/>
            <c:separator> </c:separator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numRef>
              <c:f>Proyeccion!$A$5:$A$64</c:f>
              <c:numCache>
                <c:formatCode>General</c:formatCode>
                <c:ptCount val="6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  <c:pt idx="40">
                  <c:v>41</c:v>
                </c:pt>
                <c:pt idx="41">
                  <c:v>42</c:v>
                </c:pt>
                <c:pt idx="42">
                  <c:v>43</c:v>
                </c:pt>
                <c:pt idx="43">
                  <c:v>44</c:v>
                </c:pt>
                <c:pt idx="44">
                  <c:v>45</c:v>
                </c:pt>
                <c:pt idx="45">
                  <c:v>46</c:v>
                </c:pt>
                <c:pt idx="46">
                  <c:v>47</c:v>
                </c:pt>
                <c:pt idx="47">
                  <c:v>48</c:v>
                </c:pt>
                <c:pt idx="48">
                  <c:v>49</c:v>
                </c:pt>
                <c:pt idx="49">
                  <c:v>50</c:v>
                </c:pt>
                <c:pt idx="50">
                  <c:v>51</c:v>
                </c:pt>
                <c:pt idx="51">
                  <c:v>52</c:v>
                </c:pt>
                <c:pt idx="52">
                  <c:v>53</c:v>
                </c:pt>
                <c:pt idx="53">
                  <c:v>54</c:v>
                </c:pt>
                <c:pt idx="54">
                  <c:v>55</c:v>
                </c:pt>
                <c:pt idx="55">
                  <c:v>56</c:v>
                </c:pt>
                <c:pt idx="56">
                  <c:v>57</c:v>
                </c:pt>
                <c:pt idx="57">
                  <c:v>58</c:v>
                </c:pt>
                <c:pt idx="58">
                  <c:v>59</c:v>
                </c:pt>
                <c:pt idx="59">
                  <c:v>60</c:v>
                </c:pt>
              </c:numCache>
            </c:numRef>
          </c:cat>
          <c:val>
            <c:numRef>
              <c:f>Proyeccion!$AA$5:$AA$64</c:f>
              <c:numCache>
                <c:formatCode>\$#,##0;"($"#,##0\);\-</c:formatCode>
                <c:ptCount val="60"/>
                <c:pt idx="0">
                  <c:v>-8431117.4050399996</c:v>
                </c:pt>
                <c:pt idx="1">
                  <c:v>-8762352.2151199989</c:v>
                </c:pt>
                <c:pt idx="2">
                  <c:v>-8993704.4302399997</c:v>
                </c:pt>
                <c:pt idx="3">
                  <c:v>-9125174.0504000001</c:v>
                </c:pt>
                <c:pt idx="4">
                  <c:v>-9156761.0756000001</c:v>
                </c:pt>
                <c:pt idx="5">
                  <c:v>-9088465.5058399998</c:v>
                </c:pt>
                <c:pt idx="6">
                  <c:v>-8920287.3411199991</c:v>
                </c:pt>
                <c:pt idx="7">
                  <c:v>-8652226.5814399999</c:v>
                </c:pt>
                <c:pt idx="8">
                  <c:v>-8284283.2268000003</c:v>
                </c:pt>
                <c:pt idx="9">
                  <c:v>-7816457.2772000004</c:v>
                </c:pt>
                <c:pt idx="10">
                  <c:v>-7248748.7326400001</c:v>
                </c:pt>
                <c:pt idx="11">
                  <c:v>-6581157.5931200003</c:v>
                </c:pt>
                <c:pt idx="12">
                  <c:v>-5813683.8586400002</c:v>
                </c:pt>
                <c:pt idx="13">
                  <c:v>-4946327.5292000007</c:v>
                </c:pt>
                <c:pt idx="14">
                  <c:v>-3979088.6048000008</c:v>
                </c:pt>
                <c:pt idx="15">
                  <c:v>-2911967.0854400005</c:v>
                </c:pt>
                <c:pt idx="16">
                  <c:v>-1618257.1694400006</c:v>
                </c:pt>
                <c:pt idx="17">
                  <c:v>-4547.2534400005825</c:v>
                </c:pt>
                <c:pt idx="18">
                  <c:v>1609162.6625599994</c:v>
                </c:pt>
                <c:pt idx="19">
                  <c:v>3222872.5785599994</c:v>
                </c:pt>
                <c:pt idx="20">
                  <c:v>4836582.4945599996</c:v>
                </c:pt>
                <c:pt idx="21">
                  <c:v>6450292.4105599998</c:v>
                </c:pt>
                <c:pt idx="22">
                  <c:v>8064002.32656</c:v>
                </c:pt>
                <c:pt idx="23">
                  <c:v>9677712.2425599992</c:v>
                </c:pt>
                <c:pt idx="24">
                  <c:v>11291422.158559998</c:v>
                </c:pt>
                <c:pt idx="25">
                  <c:v>12905132.074559998</c:v>
                </c:pt>
                <c:pt idx="26">
                  <c:v>14518841.990559997</c:v>
                </c:pt>
                <c:pt idx="27">
                  <c:v>16132551.906559996</c:v>
                </c:pt>
                <c:pt idx="28">
                  <c:v>17746261.822559997</c:v>
                </c:pt>
                <c:pt idx="29">
                  <c:v>19359971.738559999</c:v>
                </c:pt>
                <c:pt idx="30">
                  <c:v>20973681.65456</c:v>
                </c:pt>
                <c:pt idx="31">
                  <c:v>22587391.570560001</c:v>
                </c:pt>
                <c:pt idx="32">
                  <c:v>24201101.486560002</c:v>
                </c:pt>
                <c:pt idx="33">
                  <c:v>25814811.402560003</c:v>
                </c:pt>
                <c:pt idx="34">
                  <c:v>27428521.318560004</c:v>
                </c:pt>
                <c:pt idx="35">
                  <c:v>29042231.234560005</c:v>
                </c:pt>
                <c:pt idx="36">
                  <c:v>30655941.150560006</c:v>
                </c:pt>
                <c:pt idx="37">
                  <c:v>32269651.066560008</c:v>
                </c:pt>
                <c:pt idx="38">
                  <c:v>33883360.982560009</c:v>
                </c:pt>
                <c:pt idx="39">
                  <c:v>35497070.89856001</c:v>
                </c:pt>
                <c:pt idx="40">
                  <c:v>37110780.814560011</c:v>
                </c:pt>
                <c:pt idx="41">
                  <c:v>38724490.730560012</c:v>
                </c:pt>
                <c:pt idx="42">
                  <c:v>40338200.646560013</c:v>
                </c:pt>
                <c:pt idx="43">
                  <c:v>41951910.562560014</c:v>
                </c:pt>
                <c:pt idx="44">
                  <c:v>43565620.478560016</c:v>
                </c:pt>
                <c:pt idx="45">
                  <c:v>45179330.394560017</c:v>
                </c:pt>
                <c:pt idx="46">
                  <c:v>46793040.310560018</c:v>
                </c:pt>
                <c:pt idx="47">
                  <c:v>48406750.226560019</c:v>
                </c:pt>
                <c:pt idx="48">
                  <c:v>50020460.14256002</c:v>
                </c:pt>
                <c:pt idx="49">
                  <c:v>51634170.058560021</c:v>
                </c:pt>
                <c:pt idx="50">
                  <c:v>53247879.974560022</c:v>
                </c:pt>
                <c:pt idx="51">
                  <c:v>54861589.890560023</c:v>
                </c:pt>
                <c:pt idx="52">
                  <c:v>56475299.806560025</c:v>
                </c:pt>
                <c:pt idx="53">
                  <c:v>58089009.722560026</c:v>
                </c:pt>
                <c:pt idx="54">
                  <c:v>59702719.638560027</c:v>
                </c:pt>
                <c:pt idx="55">
                  <c:v>61316429.554560028</c:v>
                </c:pt>
                <c:pt idx="56">
                  <c:v>62930139.470560029</c:v>
                </c:pt>
                <c:pt idx="57">
                  <c:v>64543849.38656003</c:v>
                </c:pt>
                <c:pt idx="58">
                  <c:v>66157559.302560031</c:v>
                </c:pt>
                <c:pt idx="59">
                  <c:v>67771269.218560025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36F6-41E8-803F-3FA501D8780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hiLowLines>
          <c:spPr>
            <a:ln w="0">
              <a:noFill/>
            </a:ln>
          </c:spPr>
        </c:hiLowLines>
        <c:smooth val="0"/>
        <c:axId val="62022429"/>
        <c:axId val="64857475"/>
      </c:lineChart>
      <c:catAx>
        <c:axId val="62022429"/>
        <c:scaling>
          <c:orientation val="minMax"/>
        </c:scaling>
        <c:delete val="0"/>
        <c:axPos val="b"/>
        <c:title>
          <c:tx>
            <c:rich>
              <a:bodyPr rot="0"/>
              <a:lstStyle/>
              <a:p>
                <a:pPr>
                  <a:defRPr sz="1000" b="1" strike="noStrike" spc="-1">
                    <a:solidFill>
                      <a:srgbClr val="000000"/>
                    </a:solidFill>
                    <a:latin typeface="Calibri"/>
                  </a:defRPr>
                </a:pPr>
                <a:r>
                  <a:rPr lang="es-CL" sz="1000" b="1" strike="noStrike" spc="-1">
                    <a:solidFill>
                      <a:srgbClr val="000000"/>
                    </a:solidFill>
                    <a:latin typeface="Calibri"/>
                  </a:rPr>
                  <a:t>Mes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endParaRPr lang="es-CL"/>
          </a:p>
        </c:txPr>
        <c:crossAx val="64857475"/>
        <c:crosses val="autoZero"/>
        <c:auto val="1"/>
        <c:lblAlgn val="ctr"/>
        <c:lblOffset val="100"/>
        <c:noMultiLvlLbl val="0"/>
      </c:catAx>
      <c:valAx>
        <c:axId val="64857475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title>
          <c:tx>
            <c:rich>
              <a:bodyPr rot="-5400000"/>
              <a:lstStyle/>
              <a:p>
                <a:pPr>
                  <a:defRPr sz="1000" b="1" strike="noStrike" spc="-1">
                    <a:solidFill>
                      <a:srgbClr val="000000"/>
                    </a:solidFill>
                    <a:latin typeface="Calibri"/>
                  </a:defRPr>
                </a:pPr>
                <a:r>
                  <a:rPr lang="es-CL" sz="1000" b="1" strike="noStrike" spc="-1">
                    <a:solidFill>
                      <a:srgbClr val="000000"/>
                    </a:solidFill>
                    <a:latin typeface="Calibri"/>
                  </a:rPr>
                  <a:t>Flujo acumulado (CLP)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\$#,##0;&quot;($&quot;#,##0\);\-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endParaRPr lang="es-CL"/>
          </a:p>
        </c:txPr>
        <c:crossAx val="62022429"/>
        <c:crosses val="autoZero"/>
        <c:crossBetween val="between"/>
      </c:valAx>
      <c:spPr>
        <a:noFill/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sz="1000" b="0" strike="noStrike" spc="-1">
              <a:solidFill>
                <a:srgbClr val="000000"/>
              </a:solidFill>
              <a:latin typeface="Calibri"/>
            </a:defRPr>
          </a:pPr>
          <a:endParaRPr lang="es-CL"/>
        </a:p>
      </c:txPr>
    </c:legend>
    <c:plotVisOnly val="1"/>
    <c:dispBlanksAs val="gap"/>
    <c:showDLblsOverMax val="1"/>
  </c:chart>
  <c:spPr>
    <a:solidFill>
      <a:srgbClr val="FFFFFF"/>
    </a:solidFill>
    <a:ln w="9360">
      <a:solidFill>
        <a:srgbClr val="D9D9D9"/>
      </a:solidFill>
      <a:round/>
    </a:ln>
  </c:spPr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10</xdr:row>
      <xdr:rowOff>67320</xdr:rowOff>
    </xdr:from>
    <xdr:to>
      <xdr:col>7</xdr:col>
      <xdr:colOff>212040</xdr:colOff>
      <xdr:row>27</xdr:row>
      <xdr:rowOff>68400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2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36"/>
  <sheetViews>
    <sheetView showGridLines="0" topLeftCell="A20" zoomScaleNormal="100" workbookViewId="0">
      <selection activeCell="B18" sqref="B18"/>
    </sheetView>
  </sheetViews>
  <sheetFormatPr baseColWidth="10" defaultColWidth="8.6328125" defaultRowHeight="14.5" x14ac:dyDescent="0.35"/>
  <cols>
    <col min="1" max="1" width="38" customWidth="1"/>
    <col min="2" max="2" width="16" customWidth="1"/>
    <col min="3" max="3" width="42" customWidth="1"/>
  </cols>
  <sheetData>
    <row r="1" spans="1:3" ht="18" x14ac:dyDescent="0.4">
      <c r="A1" s="4" t="s">
        <v>0</v>
      </c>
      <c r="B1" s="4"/>
      <c r="C1" s="4"/>
    </row>
    <row r="2" spans="1:3" x14ac:dyDescent="0.35">
      <c r="A2" s="3" t="s">
        <v>1</v>
      </c>
      <c r="B2" s="3"/>
      <c r="C2" s="3"/>
    </row>
    <row r="4" spans="1:3" x14ac:dyDescent="0.35">
      <c r="A4" s="6" t="s">
        <v>2</v>
      </c>
    </row>
    <row r="5" spans="1:3" x14ac:dyDescent="0.35">
      <c r="A5" s="7" t="s">
        <v>3</v>
      </c>
      <c r="B5" s="8">
        <v>9990</v>
      </c>
    </row>
    <row r="6" spans="1:3" x14ac:dyDescent="0.35">
      <c r="A6" s="7" t="s">
        <v>4</v>
      </c>
      <c r="B6" s="8">
        <v>19990</v>
      </c>
    </row>
    <row r="7" spans="1:3" x14ac:dyDescent="0.35">
      <c r="A7" s="7" t="s">
        <v>5</v>
      </c>
      <c r="B7" s="8">
        <v>34990</v>
      </c>
    </row>
    <row r="9" spans="1:3" x14ac:dyDescent="0.35">
      <c r="A9" s="6" t="s">
        <v>6</v>
      </c>
    </row>
    <row r="10" spans="1:3" x14ac:dyDescent="0.35">
      <c r="A10" s="7" t="s">
        <v>7</v>
      </c>
      <c r="B10" s="9">
        <v>0.5</v>
      </c>
    </row>
    <row r="11" spans="1:3" x14ac:dyDescent="0.35">
      <c r="A11" s="7" t="s">
        <v>8</v>
      </c>
      <c r="B11" s="9">
        <v>0.35</v>
      </c>
    </row>
    <row r="12" spans="1:3" x14ac:dyDescent="0.35">
      <c r="A12" s="7" t="s">
        <v>9</v>
      </c>
      <c r="B12" s="9">
        <v>0.15</v>
      </c>
    </row>
    <row r="13" spans="1:3" x14ac:dyDescent="0.35">
      <c r="A13" s="7" t="s">
        <v>10</v>
      </c>
      <c r="B13" s="10">
        <f>B10+B11+B12</f>
        <v>1</v>
      </c>
    </row>
    <row r="14" spans="1:3" x14ac:dyDescent="0.35">
      <c r="A14" s="7" t="s">
        <v>11</v>
      </c>
      <c r="B14" s="11">
        <f>B5*B10+B6*B11+B7*B12</f>
        <v>17240</v>
      </c>
      <c r="C14" s="5" t="s">
        <v>12</v>
      </c>
    </row>
    <row r="16" spans="1:3" x14ac:dyDescent="0.35">
      <c r="A16" s="6" t="s">
        <v>13</v>
      </c>
    </row>
    <row r="17" spans="1:3" x14ac:dyDescent="0.35">
      <c r="A17" s="7" t="s">
        <v>14</v>
      </c>
      <c r="B17" s="12">
        <v>2</v>
      </c>
    </row>
    <row r="18" spans="1:3" x14ac:dyDescent="0.35">
      <c r="A18" s="7" t="s">
        <v>15</v>
      </c>
      <c r="B18" s="12">
        <v>4</v>
      </c>
    </row>
    <row r="19" spans="1:3" x14ac:dyDescent="0.35">
      <c r="A19" s="7" t="s">
        <v>16</v>
      </c>
      <c r="B19" s="8">
        <v>1000000</v>
      </c>
    </row>
    <row r="20" spans="1:3" x14ac:dyDescent="0.35">
      <c r="A20" s="7" t="s">
        <v>17</v>
      </c>
      <c r="B20" s="11">
        <f>B17*B18*B19</f>
        <v>8000000</v>
      </c>
      <c r="C20" s="5" t="s">
        <v>18</v>
      </c>
    </row>
    <row r="22" spans="1:3" x14ac:dyDescent="0.35">
      <c r="A22" s="6" t="s">
        <v>19</v>
      </c>
    </row>
    <row r="23" spans="1:3" x14ac:dyDescent="0.35">
      <c r="A23" s="7" t="s">
        <v>20</v>
      </c>
      <c r="B23" s="8">
        <v>80000</v>
      </c>
      <c r="C23" s="5" t="s">
        <v>21</v>
      </c>
    </row>
    <row r="24" spans="1:3" x14ac:dyDescent="0.35">
      <c r="A24" s="7" t="s">
        <v>22</v>
      </c>
      <c r="B24" s="8">
        <v>50000</v>
      </c>
    </row>
    <row r="25" spans="1:3" x14ac:dyDescent="0.35">
      <c r="A25" s="7" t="s">
        <v>23</v>
      </c>
      <c r="B25" s="8">
        <v>12000</v>
      </c>
    </row>
    <row r="26" spans="1:3" x14ac:dyDescent="0.35">
      <c r="A26" s="7" t="s">
        <v>24</v>
      </c>
      <c r="B26" s="11">
        <f>B24+B25/12</f>
        <v>51000</v>
      </c>
    </row>
    <row r="27" spans="1:3" x14ac:dyDescent="0.35">
      <c r="A27" s="7" t="s">
        <v>25</v>
      </c>
      <c r="B27" s="9">
        <v>2.8899999999999999E-2</v>
      </c>
      <c r="C27" s="5" t="s">
        <v>26</v>
      </c>
    </row>
    <row r="28" spans="1:3" x14ac:dyDescent="0.35">
      <c r="A28" s="7" t="s">
        <v>27</v>
      </c>
      <c r="B28" s="9">
        <v>0.19</v>
      </c>
    </row>
    <row r="29" spans="1:3" x14ac:dyDescent="0.35">
      <c r="A29" s="7" t="s">
        <v>28</v>
      </c>
      <c r="B29" s="10">
        <f>B27*(1+B28)</f>
        <v>3.4390999999999998E-2</v>
      </c>
    </row>
    <row r="31" spans="1:3" x14ac:dyDescent="0.35">
      <c r="A31" s="6" t="s">
        <v>29</v>
      </c>
    </row>
    <row r="32" spans="1:3" x14ac:dyDescent="0.35">
      <c r="A32" s="7" t="s">
        <v>30</v>
      </c>
      <c r="B32" s="12">
        <v>1</v>
      </c>
    </row>
    <row r="33" spans="1:2" x14ac:dyDescent="0.35">
      <c r="A33" s="7" t="s">
        <v>31</v>
      </c>
      <c r="B33" s="12">
        <v>3</v>
      </c>
    </row>
    <row r="34" spans="1:2" x14ac:dyDescent="0.35">
      <c r="A34" s="7" t="s">
        <v>32</v>
      </c>
      <c r="B34" s="12">
        <v>6</v>
      </c>
    </row>
    <row r="35" spans="1:2" x14ac:dyDescent="0.35">
      <c r="A35" s="7" t="s">
        <v>33</v>
      </c>
      <c r="B35" s="12">
        <v>100</v>
      </c>
    </row>
    <row r="36" spans="1:2" x14ac:dyDescent="0.35">
      <c r="A36" s="7" t="s">
        <v>34</v>
      </c>
      <c r="B36" s="12">
        <v>60</v>
      </c>
    </row>
  </sheetData>
  <mergeCells count="2">
    <mergeCell ref="A1:C1"/>
    <mergeCell ref="A2:C2"/>
  </mergeCells>
  <pageMargins left="0.75" right="0.75" top="1" bottom="1" header="0.511811023622047" footer="0.511811023622047"/>
  <pageSetup paperSize="9" orientation="portrait" horizontalDpi="300" verticalDpi="30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A64"/>
  <sheetViews>
    <sheetView showGridLines="0" zoomScaleNormal="100" workbookViewId="0">
      <pane xSplit="1" ySplit="3" topLeftCell="B4" activePane="bottomRight" state="frozen"/>
      <selection pane="topRight" activeCell="B1" sqref="B1"/>
      <selection pane="bottomLeft" activeCell="A4" sqref="A4"/>
      <selection pane="bottomRight"/>
    </sheetView>
  </sheetViews>
  <sheetFormatPr baseColWidth="10" defaultColWidth="8.6328125" defaultRowHeight="14.5" x14ac:dyDescent="0.35"/>
  <cols>
    <col min="1" max="1" width="6" customWidth="1"/>
    <col min="2" max="9" width="12" customWidth="1"/>
    <col min="11" max="18" width="12" customWidth="1"/>
    <col min="20" max="27" width="12" customWidth="1"/>
  </cols>
  <sheetData>
    <row r="1" spans="1:27" ht="16.5" x14ac:dyDescent="0.35">
      <c r="A1" s="13" t="s">
        <v>35</v>
      </c>
    </row>
    <row r="2" spans="1:27" x14ac:dyDescent="0.35">
      <c r="A2" s="5" t="s">
        <v>36</v>
      </c>
      <c r="B2" s="2" t="s">
        <v>37</v>
      </c>
      <c r="C2" s="2"/>
      <c r="D2" s="2"/>
      <c r="E2" s="2"/>
      <c r="F2" s="2"/>
      <c r="G2" s="2"/>
      <c r="H2" s="2"/>
      <c r="I2" s="2"/>
      <c r="K2" s="2" t="s">
        <v>38</v>
      </c>
      <c r="L2" s="2"/>
      <c r="M2" s="2"/>
      <c r="N2" s="2"/>
      <c r="O2" s="2"/>
      <c r="P2" s="2"/>
      <c r="Q2" s="2"/>
      <c r="R2" s="2"/>
      <c r="T2" s="2" t="s">
        <v>39</v>
      </c>
      <c r="U2" s="2"/>
      <c r="V2" s="2"/>
      <c r="W2" s="2"/>
      <c r="X2" s="2"/>
      <c r="Y2" s="2"/>
      <c r="Z2" s="2"/>
      <c r="AA2" s="2"/>
    </row>
    <row r="3" spans="1:27" ht="22" x14ac:dyDescent="0.35">
      <c r="A3" s="14" t="s">
        <v>40</v>
      </c>
      <c r="B3" s="15" t="s">
        <v>41</v>
      </c>
      <c r="C3" s="15" t="s">
        <v>42</v>
      </c>
      <c r="D3" s="15" t="s">
        <v>43</v>
      </c>
      <c r="E3" s="15" t="s">
        <v>44</v>
      </c>
      <c r="F3" s="15" t="s">
        <v>45</v>
      </c>
      <c r="G3" s="15" t="s">
        <v>46</v>
      </c>
      <c r="H3" s="15" t="s">
        <v>47</v>
      </c>
      <c r="I3" s="15" t="s">
        <v>48</v>
      </c>
      <c r="K3" s="15" t="s">
        <v>41</v>
      </c>
      <c r="L3" s="15" t="s">
        <v>42</v>
      </c>
      <c r="M3" s="15" t="s">
        <v>43</v>
      </c>
      <c r="N3" s="15" t="s">
        <v>44</v>
      </c>
      <c r="O3" s="15" t="s">
        <v>45</v>
      </c>
      <c r="P3" s="15" t="s">
        <v>46</v>
      </c>
      <c r="Q3" s="15" t="s">
        <v>47</v>
      </c>
      <c r="R3" s="15" t="s">
        <v>48</v>
      </c>
      <c r="T3" s="15" t="s">
        <v>41</v>
      </c>
      <c r="U3" s="15" t="s">
        <v>42</v>
      </c>
      <c r="V3" s="15" t="s">
        <v>43</v>
      </c>
      <c r="W3" s="15" t="s">
        <v>44</v>
      </c>
      <c r="X3" s="15" t="s">
        <v>45</v>
      </c>
      <c r="Y3" s="15" t="s">
        <v>46</v>
      </c>
      <c r="Z3" s="15" t="s">
        <v>47</v>
      </c>
      <c r="AA3" s="15" t="s">
        <v>48</v>
      </c>
    </row>
    <row r="4" spans="1:27" x14ac:dyDescent="0.35">
      <c r="A4" s="16">
        <v>0</v>
      </c>
      <c r="B4" s="17">
        <v>0</v>
      </c>
      <c r="C4" s="17">
        <v>0</v>
      </c>
      <c r="D4" s="18">
        <v>0</v>
      </c>
      <c r="E4" s="18">
        <v>0</v>
      </c>
      <c r="F4" s="18">
        <v>0</v>
      </c>
      <c r="G4" s="18">
        <v>0</v>
      </c>
      <c r="H4" s="18">
        <f>-Supuestos!$B$20</f>
        <v>-8000000</v>
      </c>
      <c r="I4" s="18">
        <f>H4</f>
        <v>-8000000</v>
      </c>
      <c r="K4" s="17">
        <v>0</v>
      </c>
      <c r="L4" s="17">
        <v>0</v>
      </c>
      <c r="M4" s="18">
        <v>0</v>
      </c>
      <c r="N4" s="18">
        <v>0</v>
      </c>
      <c r="O4" s="18">
        <v>0</v>
      </c>
      <c r="P4" s="18">
        <v>0</v>
      </c>
      <c r="Q4" s="18">
        <f>-Supuestos!$B$20</f>
        <v>-8000000</v>
      </c>
      <c r="R4" s="18">
        <f>Q4</f>
        <v>-8000000</v>
      </c>
      <c r="T4" s="17">
        <v>0</v>
      </c>
      <c r="U4" s="17">
        <v>0</v>
      </c>
      <c r="V4" s="18">
        <v>0</v>
      </c>
      <c r="W4" s="18">
        <v>0</v>
      </c>
      <c r="X4" s="18">
        <v>0</v>
      </c>
      <c r="Y4" s="18">
        <v>0</v>
      </c>
      <c r="Z4" s="18">
        <f>-Supuestos!$B$20</f>
        <v>-8000000</v>
      </c>
      <c r="AA4" s="18">
        <f>Z4</f>
        <v>-8000000</v>
      </c>
    </row>
    <row r="5" spans="1:27" x14ac:dyDescent="0.35">
      <c r="A5" s="16">
        <v>1</v>
      </c>
      <c r="B5" s="17">
        <f>MIN(Supuestos!$B$32, Supuestos!$B$35-C4)</f>
        <v>1</v>
      </c>
      <c r="C5" s="17">
        <f t="shared" ref="C5:C36" si="0">C4+B5</f>
        <v>1</v>
      </c>
      <c r="D5" s="18">
        <f>C5*Supuestos!$B$14</f>
        <v>17240</v>
      </c>
      <c r="E5" s="18">
        <f>D5*Supuestos!$B$29</f>
        <v>592.90084000000002</v>
      </c>
      <c r="F5" s="18">
        <f>B5*Supuestos!$B$23</f>
        <v>80000</v>
      </c>
      <c r="G5" s="18">
        <f>Supuestos!$B$26</f>
        <v>51000</v>
      </c>
      <c r="H5" s="18">
        <f t="shared" ref="H5:H36" si="1">D5-E5-F5-G5</f>
        <v>-114352.90084</v>
      </c>
      <c r="I5" s="18">
        <f t="shared" ref="I5:I36" si="2">I4+H5</f>
        <v>-8114352.9008400002</v>
      </c>
      <c r="K5" s="17">
        <f>MIN(Supuestos!$B$33, Supuestos!$B$35-L4)</f>
        <v>3</v>
      </c>
      <c r="L5" s="17">
        <f t="shared" ref="L5:L36" si="3">L4+K5</f>
        <v>3</v>
      </c>
      <c r="M5" s="18">
        <f>L5*Supuestos!$B$14</f>
        <v>51720</v>
      </c>
      <c r="N5" s="18">
        <f>M5*Supuestos!$B$29</f>
        <v>1778.7025199999998</v>
      </c>
      <c r="O5" s="18">
        <f>K5*Supuestos!$B$23</f>
        <v>240000</v>
      </c>
      <c r="P5" s="18">
        <f>Supuestos!$B$26</f>
        <v>51000</v>
      </c>
      <c r="Q5" s="18">
        <f t="shared" ref="Q5:Q36" si="4">M5-N5-O5-P5</f>
        <v>-241058.70251999999</v>
      </c>
      <c r="R5" s="18">
        <f t="shared" ref="R5:R36" si="5">R4+Q5</f>
        <v>-8241058.7025199998</v>
      </c>
      <c r="T5" s="17">
        <f>MIN(Supuestos!$B$34, Supuestos!$B$35-U4)</f>
        <v>6</v>
      </c>
      <c r="U5" s="17">
        <f t="shared" ref="U5:U36" si="6">U4+T5</f>
        <v>6</v>
      </c>
      <c r="V5" s="18">
        <f>U5*Supuestos!$B$14</f>
        <v>103440</v>
      </c>
      <c r="W5" s="18">
        <f>V5*Supuestos!$B$29</f>
        <v>3557.4050399999996</v>
      </c>
      <c r="X5" s="18">
        <f>T5*Supuestos!$B$23</f>
        <v>480000</v>
      </c>
      <c r="Y5" s="18">
        <f>Supuestos!$B$26</f>
        <v>51000</v>
      </c>
      <c r="Z5" s="18">
        <f t="shared" ref="Z5:Z36" si="7">V5-W5-X5-Y5</f>
        <v>-431117.40503999998</v>
      </c>
      <c r="AA5" s="18">
        <f t="shared" ref="AA5:AA36" si="8">AA4+Z5</f>
        <v>-8431117.4050399996</v>
      </c>
    </row>
    <row r="6" spans="1:27" x14ac:dyDescent="0.35">
      <c r="A6" s="16">
        <v>2</v>
      </c>
      <c r="B6" s="17">
        <f>MIN(Supuestos!$B$32, Supuestos!$B$35-C5)</f>
        <v>1</v>
      </c>
      <c r="C6" s="17">
        <f t="shared" si="0"/>
        <v>2</v>
      </c>
      <c r="D6" s="18">
        <f>C6*Supuestos!$B$14</f>
        <v>34480</v>
      </c>
      <c r="E6" s="18">
        <f>D6*Supuestos!$B$29</f>
        <v>1185.80168</v>
      </c>
      <c r="F6" s="18">
        <f>B6*Supuestos!$B$23</f>
        <v>80000</v>
      </c>
      <c r="G6" s="18">
        <f>Supuestos!$B$26</f>
        <v>51000</v>
      </c>
      <c r="H6" s="18">
        <f t="shared" si="1"/>
        <v>-97705.801680000004</v>
      </c>
      <c r="I6" s="18">
        <f t="shared" si="2"/>
        <v>-8212058.7025199998</v>
      </c>
      <c r="K6" s="17">
        <f>MIN(Supuestos!$B$33, Supuestos!$B$35-L5)</f>
        <v>3</v>
      </c>
      <c r="L6" s="17">
        <f t="shared" si="3"/>
        <v>6</v>
      </c>
      <c r="M6" s="18">
        <f>L6*Supuestos!$B$14</f>
        <v>103440</v>
      </c>
      <c r="N6" s="18">
        <f>M6*Supuestos!$B$29</f>
        <v>3557.4050399999996</v>
      </c>
      <c r="O6" s="18">
        <f>K6*Supuestos!$B$23</f>
        <v>240000</v>
      </c>
      <c r="P6" s="18">
        <f>Supuestos!$B$26</f>
        <v>51000</v>
      </c>
      <c r="Q6" s="18">
        <f t="shared" si="4"/>
        <v>-191117.40503999998</v>
      </c>
      <c r="R6" s="18">
        <f t="shared" si="5"/>
        <v>-8432176.1075599995</v>
      </c>
      <c r="T6" s="17">
        <f>MIN(Supuestos!$B$34, Supuestos!$B$35-U5)</f>
        <v>6</v>
      </c>
      <c r="U6" s="17">
        <f t="shared" si="6"/>
        <v>12</v>
      </c>
      <c r="V6" s="18">
        <f>U6*Supuestos!$B$14</f>
        <v>206880</v>
      </c>
      <c r="W6" s="18">
        <f>V6*Supuestos!$B$29</f>
        <v>7114.8100799999993</v>
      </c>
      <c r="X6" s="18">
        <f>T6*Supuestos!$B$23</f>
        <v>480000</v>
      </c>
      <c r="Y6" s="18">
        <f>Supuestos!$B$26</f>
        <v>51000</v>
      </c>
      <c r="Z6" s="18">
        <f t="shared" si="7"/>
        <v>-331234.81007999997</v>
      </c>
      <c r="AA6" s="18">
        <f t="shared" si="8"/>
        <v>-8762352.2151199989</v>
      </c>
    </row>
    <row r="7" spans="1:27" x14ac:dyDescent="0.35">
      <c r="A7" s="16">
        <v>3</v>
      </c>
      <c r="B7" s="17">
        <f>MIN(Supuestos!$B$32, Supuestos!$B$35-C6)</f>
        <v>1</v>
      </c>
      <c r="C7" s="17">
        <f t="shared" si="0"/>
        <v>3</v>
      </c>
      <c r="D7" s="18">
        <f>C7*Supuestos!$B$14</f>
        <v>51720</v>
      </c>
      <c r="E7" s="18">
        <f>D7*Supuestos!$B$29</f>
        <v>1778.7025199999998</v>
      </c>
      <c r="F7" s="18">
        <f>B7*Supuestos!$B$23</f>
        <v>80000</v>
      </c>
      <c r="G7" s="18">
        <f>Supuestos!$B$26</f>
        <v>51000</v>
      </c>
      <c r="H7" s="18">
        <f t="shared" si="1"/>
        <v>-81058.702519999992</v>
      </c>
      <c r="I7" s="18">
        <f t="shared" si="2"/>
        <v>-8293117.4050399996</v>
      </c>
      <c r="K7" s="17">
        <f>MIN(Supuestos!$B$33, Supuestos!$B$35-L6)</f>
        <v>3</v>
      </c>
      <c r="L7" s="17">
        <f t="shared" si="3"/>
        <v>9</v>
      </c>
      <c r="M7" s="18">
        <f>L7*Supuestos!$B$14</f>
        <v>155160</v>
      </c>
      <c r="N7" s="18">
        <f>M7*Supuestos!$B$29</f>
        <v>5336.1075599999995</v>
      </c>
      <c r="O7" s="18">
        <f>K7*Supuestos!$B$23</f>
        <v>240000</v>
      </c>
      <c r="P7" s="18">
        <f>Supuestos!$B$26</f>
        <v>51000</v>
      </c>
      <c r="Q7" s="18">
        <f t="shared" si="4"/>
        <v>-141176.10756</v>
      </c>
      <c r="R7" s="18">
        <f t="shared" si="5"/>
        <v>-8573352.2151199989</v>
      </c>
      <c r="T7" s="17">
        <f>MIN(Supuestos!$B$34, Supuestos!$B$35-U6)</f>
        <v>6</v>
      </c>
      <c r="U7" s="17">
        <f t="shared" si="6"/>
        <v>18</v>
      </c>
      <c r="V7" s="18">
        <f>U7*Supuestos!$B$14</f>
        <v>310320</v>
      </c>
      <c r="W7" s="18">
        <f>V7*Supuestos!$B$29</f>
        <v>10672.215119999999</v>
      </c>
      <c r="X7" s="18">
        <f>T7*Supuestos!$B$23</f>
        <v>480000</v>
      </c>
      <c r="Y7" s="18">
        <f>Supuestos!$B$26</f>
        <v>51000</v>
      </c>
      <c r="Z7" s="18">
        <f t="shared" si="7"/>
        <v>-231352.21512000001</v>
      </c>
      <c r="AA7" s="18">
        <f t="shared" si="8"/>
        <v>-8993704.4302399997</v>
      </c>
    </row>
    <row r="8" spans="1:27" x14ac:dyDescent="0.35">
      <c r="A8" s="16">
        <v>4</v>
      </c>
      <c r="B8" s="17">
        <f>MIN(Supuestos!$B$32, Supuestos!$B$35-C7)</f>
        <v>1</v>
      </c>
      <c r="C8" s="17">
        <f t="shared" si="0"/>
        <v>4</v>
      </c>
      <c r="D8" s="18">
        <f>C8*Supuestos!$B$14</f>
        <v>68960</v>
      </c>
      <c r="E8" s="18">
        <f>D8*Supuestos!$B$29</f>
        <v>2371.6033600000001</v>
      </c>
      <c r="F8" s="18">
        <f>B8*Supuestos!$B$23</f>
        <v>80000</v>
      </c>
      <c r="G8" s="18">
        <f>Supuestos!$B$26</f>
        <v>51000</v>
      </c>
      <c r="H8" s="18">
        <f t="shared" si="1"/>
        <v>-64411.603359999994</v>
      </c>
      <c r="I8" s="18">
        <f t="shared" si="2"/>
        <v>-8357529.0083999997</v>
      </c>
      <c r="K8" s="17">
        <f>MIN(Supuestos!$B$33, Supuestos!$B$35-L7)</f>
        <v>3</v>
      </c>
      <c r="L8" s="17">
        <f t="shared" si="3"/>
        <v>12</v>
      </c>
      <c r="M8" s="18">
        <f>L8*Supuestos!$B$14</f>
        <v>206880</v>
      </c>
      <c r="N8" s="18">
        <f>M8*Supuestos!$B$29</f>
        <v>7114.8100799999993</v>
      </c>
      <c r="O8" s="18">
        <f>K8*Supuestos!$B$23</f>
        <v>240000</v>
      </c>
      <c r="P8" s="18">
        <f>Supuestos!$B$26</f>
        <v>51000</v>
      </c>
      <c r="Q8" s="18">
        <f t="shared" si="4"/>
        <v>-91234.810079999996</v>
      </c>
      <c r="R8" s="18">
        <f t="shared" si="5"/>
        <v>-8664587.0251999982</v>
      </c>
      <c r="T8" s="17">
        <f>MIN(Supuestos!$B$34, Supuestos!$B$35-U7)</f>
        <v>6</v>
      </c>
      <c r="U8" s="17">
        <f t="shared" si="6"/>
        <v>24</v>
      </c>
      <c r="V8" s="18">
        <f>U8*Supuestos!$B$14</f>
        <v>413760</v>
      </c>
      <c r="W8" s="18">
        <f>V8*Supuestos!$B$29</f>
        <v>14229.620159999999</v>
      </c>
      <c r="X8" s="18">
        <f>T8*Supuestos!$B$23</f>
        <v>480000</v>
      </c>
      <c r="Y8" s="18">
        <f>Supuestos!$B$26</f>
        <v>51000</v>
      </c>
      <c r="Z8" s="18">
        <f t="shared" si="7"/>
        <v>-131469.62015999999</v>
      </c>
      <c r="AA8" s="18">
        <f t="shared" si="8"/>
        <v>-9125174.0504000001</v>
      </c>
    </row>
    <row r="9" spans="1:27" x14ac:dyDescent="0.35">
      <c r="A9" s="16">
        <v>5</v>
      </c>
      <c r="B9" s="17">
        <f>MIN(Supuestos!$B$32, Supuestos!$B$35-C8)</f>
        <v>1</v>
      </c>
      <c r="C9" s="17">
        <f t="shared" si="0"/>
        <v>5</v>
      </c>
      <c r="D9" s="18">
        <f>C9*Supuestos!$B$14</f>
        <v>86200</v>
      </c>
      <c r="E9" s="18">
        <f>D9*Supuestos!$B$29</f>
        <v>2964.5041999999999</v>
      </c>
      <c r="F9" s="18">
        <f>B9*Supuestos!$B$23</f>
        <v>80000</v>
      </c>
      <c r="G9" s="18">
        <f>Supuestos!$B$26</f>
        <v>51000</v>
      </c>
      <c r="H9" s="18">
        <f t="shared" si="1"/>
        <v>-47764.504199999996</v>
      </c>
      <c r="I9" s="18">
        <f t="shared" si="2"/>
        <v>-8405293.5125999991</v>
      </c>
      <c r="K9" s="17">
        <f>MIN(Supuestos!$B$33, Supuestos!$B$35-L8)</f>
        <v>3</v>
      </c>
      <c r="L9" s="17">
        <f t="shared" si="3"/>
        <v>15</v>
      </c>
      <c r="M9" s="18">
        <f>L9*Supuestos!$B$14</f>
        <v>258600</v>
      </c>
      <c r="N9" s="18">
        <f>M9*Supuestos!$B$29</f>
        <v>8893.5126</v>
      </c>
      <c r="O9" s="18">
        <f>K9*Supuestos!$B$23</f>
        <v>240000</v>
      </c>
      <c r="P9" s="18">
        <f>Supuestos!$B$26</f>
        <v>51000</v>
      </c>
      <c r="Q9" s="18">
        <f t="shared" si="4"/>
        <v>-41293.512599999987</v>
      </c>
      <c r="R9" s="18">
        <f t="shared" si="5"/>
        <v>-8705880.5377999973</v>
      </c>
      <c r="T9" s="17">
        <f>MIN(Supuestos!$B$34, Supuestos!$B$35-U8)</f>
        <v>6</v>
      </c>
      <c r="U9" s="17">
        <f t="shared" si="6"/>
        <v>30</v>
      </c>
      <c r="V9" s="18">
        <f>U9*Supuestos!$B$14</f>
        <v>517200</v>
      </c>
      <c r="W9" s="18">
        <f>V9*Supuestos!$B$29</f>
        <v>17787.0252</v>
      </c>
      <c r="X9" s="18">
        <f>T9*Supuestos!$B$23</f>
        <v>480000</v>
      </c>
      <c r="Y9" s="18">
        <f>Supuestos!$B$26</f>
        <v>51000</v>
      </c>
      <c r="Z9" s="18">
        <f t="shared" si="7"/>
        <v>-31587.025199999975</v>
      </c>
      <c r="AA9" s="18">
        <f t="shared" si="8"/>
        <v>-9156761.0756000001</v>
      </c>
    </row>
    <row r="10" spans="1:27" x14ac:dyDescent="0.35">
      <c r="A10" s="16">
        <v>6</v>
      </c>
      <c r="B10" s="17">
        <f>MIN(Supuestos!$B$32, Supuestos!$B$35-C9)</f>
        <v>1</v>
      </c>
      <c r="C10" s="17">
        <f t="shared" si="0"/>
        <v>6</v>
      </c>
      <c r="D10" s="18">
        <f>C10*Supuestos!$B$14</f>
        <v>103440</v>
      </c>
      <c r="E10" s="18">
        <f>D10*Supuestos!$B$29</f>
        <v>3557.4050399999996</v>
      </c>
      <c r="F10" s="18">
        <f>B10*Supuestos!$B$23</f>
        <v>80000</v>
      </c>
      <c r="G10" s="18">
        <f>Supuestos!$B$26</f>
        <v>51000</v>
      </c>
      <c r="H10" s="18">
        <f t="shared" si="1"/>
        <v>-31117.405039999998</v>
      </c>
      <c r="I10" s="18">
        <f t="shared" si="2"/>
        <v>-8436410.9176399987</v>
      </c>
      <c r="K10" s="17">
        <f>MIN(Supuestos!$B$33, Supuestos!$B$35-L9)</f>
        <v>3</v>
      </c>
      <c r="L10" s="17">
        <f t="shared" si="3"/>
        <v>18</v>
      </c>
      <c r="M10" s="18">
        <f>L10*Supuestos!$B$14</f>
        <v>310320</v>
      </c>
      <c r="N10" s="18">
        <f>M10*Supuestos!$B$29</f>
        <v>10672.215119999999</v>
      </c>
      <c r="O10" s="18">
        <f>K10*Supuestos!$B$23</f>
        <v>240000</v>
      </c>
      <c r="P10" s="18">
        <f>Supuestos!$B$26</f>
        <v>51000</v>
      </c>
      <c r="Q10" s="18">
        <f t="shared" si="4"/>
        <v>8647.784879999992</v>
      </c>
      <c r="R10" s="18">
        <f t="shared" si="5"/>
        <v>-8697232.752919998</v>
      </c>
      <c r="T10" s="17">
        <f>MIN(Supuestos!$B$34, Supuestos!$B$35-U9)</f>
        <v>6</v>
      </c>
      <c r="U10" s="17">
        <f t="shared" si="6"/>
        <v>36</v>
      </c>
      <c r="V10" s="18">
        <f>U10*Supuestos!$B$14</f>
        <v>620640</v>
      </c>
      <c r="W10" s="18">
        <f>V10*Supuestos!$B$29</f>
        <v>21344.430239999998</v>
      </c>
      <c r="X10" s="18">
        <f>T10*Supuestos!$B$23</f>
        <v>480000</v>
      </c>
      <c r="Y10" s="18">
        <f>Supuestos!$B$26</f>
        <v>51000</v>
      </c>
      <c r="Z10" s="18">
        <f t="shared" si="7"/>
        <v>68295.569759999984</v>
      </c>
      <c r="AA10" s="18">
        <f t="shared" si="8"/>
        <v>-9088465.5058399998</v>
      </c>
    </row>
    <row r="11" spans="1:27" x14ac:dyDescent="0.35">
      <c r="A11" s="16">
        <v>7</v>
      </c>
      <c r="B11" s="17">
        <f>MIN(Supuestos!$B$32, Supuestos!$B$35-C10)</f>
        <v>1</v>
      </c>
      <c r="C11" s="17">
        <f t="shared" si="0"/>
        <v>7</v>
      </c>
      <c r="D11" s="18">
        <f>C11*Supuestos!$B$14</f>
        <v>120680</v>
      </c>
      <c r="E11" s="18">
        <f>D11*Supuestos!$B$29</f>
        <v>4150.3058799999999</v>
      </c>
      <c r="F11" s="18">
        <f>B11*Supuestos!$B$23</f>
        <v>80000</v>
      </c>
      <c r="G11" s="18">
        <f>Supuestos!$B$26</f>
        <v>51000</v>
      </c>
      <c r="H11" s="18">
        <f t="shared" si="1"/>
        <v>-14470.30588</v>
      </c>
      <c r="I11" s="18">
        <f t="shared" si="2"/>
        <v>-8450881.2235199995</v>
      </c>
      <c r="K11" s="17">
        <f>MIN(Supuestos!$B$33, Supuestos!$B$35-L10)</f>
        <v>3</v>
      </c>
      <c r="L11" s="17">
        <f t="shared" si="3"/>
        <v>21</v>
      </c>
      <c r="M11" s="18">
        <f>L11*Supuestos!$B$14</f>
        <v>362040</v>
      </c>
      <c r="N11" s="18">
        <f>M11*Supuestos!$B$29</f>
        <v>12450.91764</v>
      </c>
      <c r="O11" s="18">
        <f>K11*Supuestos!$B$23</f>
        <v>240000</v>
      </c>
      <c r="P11" s="18">
        <f>Supuestos!$B$26</f>
        <v>51000</v>
      </c>
      <c r="Q11" s="18">
        <f t="shared" si="4"/>
        <v>58589.08236</v>
      </c>
      <c r="R11" s="18">
        <f t="shared" si="5"/>
        <v>-8638643.6705599986</v>
      </c>
      <c r="T11" s="17">
        <f>MIN(Supuestos!$B$34, Supuestos!$B$35-U10)</f>
        <v>6</v>
      </c>
      <c r="U11" s="17">
        <f t="shared" si="6"/>
        <v>42</v>
      </c>
      <c r="V11" s="18">
        <f>U11*Supuestos!$B$14</f>
        <v>724080</v>
      </c>
      <c r="W11" s="18">
        <f>V11*Supuestos!$B$29</f>
        <v>24901.835279999999</v>
      </c>
      <c r="X11" s="18">
        <f>T11*Supuestos!$B$23</f>
        <v>480000</v>
      </c>
      <c r="Y11" s="18">
        <f>Supuestos!$B$26</f>
        <v>51000</v>
      </c>
      <c r="Z11" s="18">
        <f t="shared" si="7"/>
        <v>168178.16472</v>
      </c>
      <c r="AA11" s="18">
        <f t="shared" si="8"/>
        <v>-8920287.3411199991</v>
      </c>
    </row>
    <row r="12" spans="1:27" x14ac:dyDescent="0.35">
      <c r="A12" s="16">
        <v>8</v>
      </c>
      <c r="B12" s="17">
        <f>MIN(Supuestos!$B$32, Supuestos!$B$35-C11)</f>
        <v>1</v>
      </c>
      <c r="C12" s="17">
        <f t="shared" si="0"/>
        <v>8</v>
      </c>
      <c r="D12" s="18">
        <f>C12*Supuestos!$B$14</f>
        <v>137920</v>
      </c>
      <c r="E12" s="18">
        <f>D12*Supuestos!$B$29</f>
        <v>4743.2067200000001</v>
      </c>
      <c r="F12" s="18">
        <f>B12*Supuestos!$B$23</f>
        <v>80000</v>
      </c>
      <c r="G12" s="18">
        <f>Supuestos!$B$26</f>
        <v>51000</v>
      </c>
      <c r="H12" s="18">
        <f t="shared" si="1"/>
        <v>2176.7932800000126</v>
      </c>
      <c r="I12" s="18">
        <f t="shared" si="2"/>
        <v>-8448704.4302399997</v>
      </c>
      <c r="K12" s="17">
        <f>MIN(Supuestos!$B$33, Supuestos!$B$35-L11)</f>
        <v>3</v>
      </c>
      <c r="L12" s="17">
        <f t="shared" si="3"/>
        <v>24</v>
      </c>
      <c r="M12" s="18">
        <f>L12*Supuestos!$B$14</f>
        <v>413760</v>
      </c>
      <c r="N12" s="18">
        <f>M12*Supuestos!$B$29</f>
        <v>14229.620159999999</v>
      </c>
      <c r="O12" s="18">
        <f>K12*Supuestos!$B$23</f>
        <v>240000</v>
      </c>
      <c r="P12" s="18">
        <f>Supuestos!$B$26</f>
        <v>51000</v>
      </c>
      <c r="Q12" s="18">
        <f t="shared" si="4"/>
        <v>108530.37984000001</v>
      </c>
      <c r="R12" s="18">
        <f t="shared" si="5"/>
        <v>-8530113.290719999</v>
      </c>
      <c r="T12" s="17">
        <f>MIN(Supuestos!$B$34, Supuestos!$B$35-U11)</f>
        <v>6</v>
      </c>
      <c r="U12" s="17">
        <f t="shared" si="6"/>
        <v>48</v>
      </c>
      <c r="V12" s="18">
        <f>U12*Supuestos!$B$14</f>
        <v>827520</v>
      </c>
      <c r="W12" s="18">
        <f>V12*Supuestos!$B$29</f>
        <v>28459.240319999997</v>
      </c>
      <c r="X12" s="18">
        <f>T12*Supuestos!$B$23</f>
        <v>480000</v>
      </c>
      <c r="Y12" s="18">
        <f>Supuestos!$B$26</f>
        <v>51000</v>
      </c>
      <c r="Z12" s="18">
        <f t="shared" si="7"/>
        <v>268060.75968000002</v>
      </c>
      <c r="AA12" s="18">
        <f t="shared" si="8"/>
        <v>-8652226.5814399999</v>
      </c>
    </row>
    <row r="13" spans="1:27" x14ac:dyDescent="0.35">
      <c r="A13" s="16">
        <v>9</v>
      </c>
      <c r="B13" s="17">
        <f>MIN(Supuestos!$B$32, Supuestos!$B$35-C12)</f>
        <v>1</v>
      </c>
      <c r="C13" s="17">
        <f t="shared" si="0"/>
        <v>9</v>
      </c>
      <c r="D13" s="18">
        <f>C13*Supuestos!$B$14</f>
        <v>155160</v>
      </c>
      <c r="E13" s="18">
        <f>D13*Supuestos!$B$29</f>
        <v>5336.1075599999995</v>
      </c>
      <c r="F13" s="18">
        <f>B13*Supuestos!$B$23</f>
        <v>80000</v>
      </c>
      <c r="G13" s="18">
        <f>Supuestos!$B$26</f>
        <v>51000</v>
      </c>
      <c r="H13" s="18">
        <f t="shared" si="1"/>
        <v>18823.892439999996</v>
      </c>
      <c r="I13" s="18">
        <f t="shared" si="2"/>
        <v>-8429880.5377999991</v>
      </c>
      <c r="K13" s="17">
        <f>MIN(Supuestos!$B$33, Supuestos!$B$35-L12)</f>
        <v>3</v>
      </c>
      <c r="L13" s="17">
        <f t="shared" si="3"/>
        <v>27</v>
      </c>
      <c r="M13" s="18">
        <f>L13*Supuestos!$B$14</f>
        <v>465480</v>
      </c>
      <c r="N13" s="18">
        <f>M13*Supuestos!$B$29</f>
        <v>16008.322679999999</v>
      </c>
      <c r="O13" s="18">
        <f>K13*Supuestos!$B$23</f>
        <v>240000</v>
      </c>
      <c r="P13" s="18">
        <f>Supuestos!$B$26</f>
        <v>51000</v>
      </c>
      <c r="Q13" s="18">
        <f t="shared" si="4"/>
        <v>158471.67732000002</v>
      </c>
      <c r="R13" s="18">
        <f t="shared" si="5"/>
        <v>-8371641.6133999992</v>
      </c>
      <c r="T13" s="17">
        <f>MIN(Supuestos!$B$34, Supuestos!$B$35-U12)</f>
        <v>6</v>
      </c>
      <c r="U13" s="17">
        <f t="shared" si="6"/>
        <v>54</v>
      </c>
      <c r="V13" s="18">
        <f>U13*Supuestos!$B$14</f>
        <v>930960</v>
      </c>
      <c r="W13" s="18">
        <f>V13*Supuestos!$B$29</f>
        <v>32016.645359999999</v>
      </c>
      <c r="X13" s="18">
        <f>T13*Supuestos!$B$23</f>
        <v>480000</v>
      </c>
      <c r="Y13" s="18">
        <f>Supuestos!$B$26</f>
        <v>51000</v>
      </c>
      <c r="Z13" s="18">
        <f t="shared" si="7"/>
        <v>367943.35464000003</v>
      </c>
      <c r="AA13" s="18">
        <f t="shared" si="8"/>
        <v>-8284283.2268000003</v>
      </c>
    </row>
    <row r="14" spans="1:27" x14ac:dyDescent="0.35">
      <c r="A14" s="16">
        <v>10</v>
      </c>
      <c r="B14" s="17">
        <f>MIN(Supuestos!$B$32, Supuestos!$B$35-C13)</f>
        <v>1</v>
      </c>
      <c r="C14" s="17">
        <f t="shared" si="0"/>
        <v>10</v>
      </c>
      <c r="D14" s="18">
        <f>C14*Supuestos!$B$14</f>
        <v>172400</v>
      </c>
      <c r="E14" s="18">
        <f>D14*Supuestos!$B$29</f>
        <v>5929.0083999999997</v>
      </c>
      <c r="F14" s="18">
        <f>B14*Supuestos!$B$23</f>
        <v>80000</v>
      </c>
      <c r="G14" s="18">
        <f>Supuestos!$B$26</f>
        <v>51000</v>
      </c>
      <c r="H14" s="18">
        <f t="shared" si="1"/>
        <v>35470.991600000008</v>
      </c>
      <c r="I14" s="18">
        <f t="shared" si="2"/>
        <v>-8394409.5461999997</v>
      </c>
      <c r="K14" s="17">
        <f>MIN(Supuestos!$B$33, Supuestos!$B$35-L13)</f>
        <v>3</v>
      </c>
      <c r="L14" s="17">
        <f t="shared" si="3"/>
        <v>30</v>
      </c>
      <c r="M14" s="18">
        <f>L14*Supuestos!$B$14</f>
        <v>517200</v>
      </c>
      <c r="N14" s="18">
        <f>M14*Supuestos!$B$29</f>
        <v>17787.0252</v>
      </c>
      <c r="O14" s="18">
        <f>K14*Supuestos!$B$23</f>
        <v>240000</v>
      </c>
      <c r="P14" s="18">
        <f>Supuestos!$B$26</f>
        <v>51000</v>
      </c>
      <c r="Q14" s="18">
        <f t="shared" si="4"/>
        <v>208412.97480000003</v>
      </c>
      <c r="R14" s="18">
        <f t="shared" si="5"/>
        <v>-8163228.6385999992</v>
      </c>
      <c r="T14" s="17">
        <f>MIN(Supuestos!$B$34, Supuestos!$B$35-U13)</f>
        <v>6</v>
      </c>
      <c r="U14" s="17">
        <f t="shared" si="6"/>
        <v>60</v>
      </c>
      <c r="V14" s="18">
        <f>U14*Supuestos!$B$14</f>
        <v>1034400</v>
      </c>
      <c r="W14" s="18">
        <f>V14*Supuestos!$B$29</f>
        <v>35574.0504</v>
      </c>
      <c r="X14" s="18">
        <f>T14*Supuestos!$B$23</f>
        <v>480000</v>
      </c>
      <c r="Y14" s="18">
        <f>Supuestos!$B$26</f>
        <v>51000</v>
      </c>
      <c r="Z14" s="18">
        <f t="shared" si="7"/>
        <v>467825.94960000005</v>
      </c>
      <c r="AA14" s="18">
        <f t="shared" si="8"/>
        <v>-7816457.2772000004</v>
      </c>
    </row>
    <row r="15" spans="1:27" x14ac:dyDescent="0.35">
      <c r="A15" s="16">
        <v>11</v>
      </c>
      <c r="B15" s="17">
        <f>MIN(Supuestos!$B$32, Supuestos!$B$35-C14)</f>
        <v>1</v>
      </c>
      <c r="C15" s="17">
        <f t="shared" si="0"/>
        <v>11</v>
      </c>
      <c r="D15" s="18">
        <f>C15*Supuestos!$B$14</f>
        <v>189640</v>
      </c>
      <c r="E15" s="18">
        <f>D15*Supuestos!$B$29</f>
        <v>6521.90924</v>
      </c>
      <c r="F15" s="18">
        <f>B15*Supuestos!$B$23</f>
        <v>80000</v>
      </c>
      <c r="G15" s="18">
        <f>Supuestos!$B$26</f>
        <v>51000</v>
      </c>
      <c r="H15" s="18">
        <f t="shared" si="1"/>
        <v>52118.090759999992</v>
      </c>
      <c r="I15" s="18">
        <f t="shared" si="2"/>
        <v>-8342291.4554399997</v>
      </c>
      <c r="K15" s="17">
        <f>MIN(Supuestos!$B$33, Supuestos!$B$35-L14)</f>
        <v>3</v>
      </c>
      <c r="L15" s="17">
        <f t="shared" si="3"/>
        <v>33</v>
      </c>
      <c r="M15" s="18">
        <f>L15*Supuestos!$B$14</f>
        <v>568920</v>
      </c>
      <c r="N15" s="18">
        <f>M15*Supuestos!$B$29</f>
        <v>19565.727719999999</v>
      </c>
      <c r="O15" s="18">
        <f>K15*Supuestos!$B$23</f>
        <v>240000</v>
      </c>
      <c r="P15" s="18">
        <f>Supuestos!$B$26</f>
        <v>51000</v>
      </c>
      <c r="Q15" s="18">
        <f t="shared" si="4"/>
        <v>258354.27228000003</v>
      </c>
      <c r="R15" s="18">
        <f t="shared" si="5"/>
        <v>-7904874.3663199991</v>
      </c>
      <c r="T15" s="17">
        <f>MIN(Supuestos!$B$34, Supuestos!$B$35-U14)</f>
        <v>6</v>
      </c>
      <c r="U15" s="17">
        <f t="shared" si="6"/>
        <v>66</v>
      </c>
      <c r="V15" s="18">
        <f>U15*Supuestos!$B$14</f>
        <v>1137840</v>
      </c>
      <c r="W15" s="18">
        <f>V15*Supuestos!$B$29</f>
        <v>39131.455439999998</v>
      </c>
      <c r="X15" s="18">
        <f>T15*Supuestos!$B$23</f>
        <v>480000</v>
      </c>
      <c r="Y15" s="18">
        <f>Supuestos!$B$26</f>
        <v>51000</v>
      </c>
      <c r="Z15" s="18">
        <f t="shared" si="7"/>
        <v>567708.54456000007</v>
      </c>
      <c r="AA15" s="18">
        <f t="shared" si="8"/>
        <v>-7248748.7326400001</v>
      </c>
    </row>
    <row r="16" spans="1:27" x14ac:dyDescent="0.35">
      <c r="A16" s="16">
        <v>12</v>
      </c>
      <c r="B16" s="17">
        <f>MIN(Supuestos!$B$32, Supuestos!$B$35-C15)</f>
        <v>1</v>
      </c>
      <c r="C16" s="17">
        <f t="shared" si="0"/>
        <v>12</v>
      </c>
      <c r="D16" s="18">
        <f>C16*Supuestos!$B$14</f>
        <v>206880</v>
      </c>
      <c r="E16" s="18">
        <f>D16*Supuestos!$B$29</f>
        <v>7114.8100799999993</v>
      </c>
      <c r="F16" s="18">
        <f>B16*Supuestos!$B$23</f>
        <v>80000</v>
      </c>
      <c r="G16" s="18">
        <f>Supuestos!$B$26</f>
        <v>51000</v>
      </c>
      <c r="H16" s="18">
        <f t="shared" si="1"/>
        <v>68765.189920000004</v>
      </c>
      <c r="I16" s="18">
        <f t="shared" si="2"/>
        <v>-8273526.2655199999</v>
      </c>
      <c r="K16" s="17">
        <f>MIN(Supuestos!$B$33, Supuestos!$B$35-L15)</f>
        <v>3</v>
      </c>
      <c r="L16" s="17">
        <f t="shared" si="3"/>
        <v>36</v>
      </c>
      <c r="M16" s="18">
        <f>L16*Supuestos!$B$14</f>
        <v>620640</v>
      </c>
      <c r="N16" s="18">
        <f>M16*Supuestos!$B$29</f>
        <v>21344.430239999998</v>
      </c>
      <c r="O16" s="18">
        <f>K16*Supuestos!$B$23</f>
        <v>240000</v>
      </c>
      <c r="P16" s="18">
        <f>Supuestos!$B$26</f>
        <v>51000</v>
      </c>
      <c r="Q16" s="18">
        <f t="shared" si="4"/>
        <v>308295.56975999998</v>
      </c>
      <c r="R16" s="18">
        <f t="shared" si="5"/>
        <v>-7596578.7965599988</v>
      </c>
      <c r="T16" s="17">
        <f>MIN(Supuestos!$B$34, Supuestos!$B$35-U15)</f>
        <v>6</v>
      </c>
      <c r="U16" s="17">
        <f t="shared" si="6"/>
        <v>72</v>
      </c>
      <c r="V16" s="18">
        <f>U16*Supuestos!$B$14</f>
        <v>1241280</v>
      </c>
      <c r="W16" s="18">
        <f>V16*Supuestos!$B$29</f>
        <v>42688.860479999996</v>
      </c>
      <c r="X16" s="18">
        <f>T16*Supuestos!$B$23</f>
        <v>480000</v>
      </c>
      <c r="Y16" s="18">
        <f>Supuestos!$B$26</f>
        <v>51000</v>
      </c>
      <c r="Z16" s="18">
        <f t="shared" si="7"/>
        <v>667591.13951999997</v>
      </c>
      <c r="AA16" s="18">
        <f t="shared" si="8"/>
        <v>-6581157.5931200003</v>
      </c>
    </row>
    <row r="17" spans="1:27" x14ac:dyDescent="0.35">
      <c r="A17" s="16">
        <v>13</v>
      </c>
      <c r="B17" s="17">
        <f>MIN(Supuestos!$B$32, Supuestos!$B$35-C16)</f>
        <v>1</v>
      </c>
      <c r="C17" s="17">
        <f t="shared" si="0"/>
        <v>13</v>
      </c>
      <c r="D17" s="18">
        <f>C17*Supuestos!$B$14</f>
        <v>224120</v>
      </c>
      <c r="E17" s="18">
        <f>D17*Supuestos!$B$29</f>
        <v>7707.7109199999995</v>
      </c>
      <c r="F17" s="18">
        <f>B17*Supuestos!$B$23</f>
        <v>80000</v>
      </c>
      <c r="G17" s="18">
        <f>Supuestos!$B$26</f>
        <v>51000</v>
      </c>
      <c r="H17" s="18">
        <f t="shared" si="1"/>
        <v>85412.289079999988</v>
      </c>
      <c r="I17" s="18">
        <f t="shared" si="2"/>
        <v>-8188113.9764400003</v>
      </c>
      <c r="K17" s="17">
        <f>MIN(Supuestos!$B$33, Supuestos!$B$35-L16)</f>
        <v>3</v>
      </c>
      <c r="L17" s="17">
        <f t="shared" si="3"/>
        <v>39</v>
      </c>
      <c r="M17" s="18">
        <f>L17*Supuestos!$B$14</f>
        <v>672360</v>
      </c>
      <c r="N17" s="18">
        <f>M17*Supuestos!$B$29</f>
        <v>23123.13276</v>
      </c>
      <c r="O17" s="18">
        <f>K17*Supuestos!$B$23</f>
        <v>240000</v>
      </c>
      <c r="P17" s="18">
        <f>Supuestos!$B$26</f>
        <v>51000</v>
      </c>
      <c r="Q17" s="18">
        <f t="shared" si="4"/>
        <v>358236.86724000005</v>
      </c>
      <c r="R17" s="18">
        <f t="shared" si="5"/>
        <v>-7238341.9293199982</v>
      </c>
      <c r="T17" s="17">
        <f>MIN(Supuestos!$B$34, Supuestos!$B$35-U16)</f>
        <v>6</v>
      </c>
      <c r="U17" s="17">
        <f t="shared" si="6"/>
        <v>78</v>
      </c>
      <c r="V17" s="18">
        <f>U17*Supuestos!$B$14</f>
        <v>1344720</v>
      </c>
      <c r="W17" s="18">
        <f>V17*Supuestos!$B$29</f>
        <v>46246.265520000001</v>
      </c>
      <c r="X17" s="18">
        <f>T17*Supuestos!$B$23</f>
        <v>480000</v>
      </c>
      <c r="Y17" s="18">
        <f>Supuestos!$B$26</f>
        <v>51000</v>
      </c>
      <c r="Z17" s="18">
        <f t="shared" si="7"/>
        <v>767473.7344800001</v>
      </c>
      <c r="AA17" s="18">
        <f t="shared" si="8"/>
        <v>-5813683.8586400002</v>
      </c>
    </row>
    <row r="18" spans="1:27" x14ac:dyDescent="0.35">
      <c r="A18" s="16">
        <v>14</v>
      </c>
      <c r="B18" s="17">
        <f>MIN(Supuestos!$B$32, Supuestos!$B$35-C17)</f>
        <v>1</v>
      </c>
      <c r="C18" s="17">
        <f t="shared" si="0"/>
        <v>14</v>
      </c>
      <c r="D18" s="18">
        <f>C18*Supuestos!$B$14</f>
        <v>241360</v>
      </c>
      <c r="E18" s="18">
        <f>D18*Supuestos!$B$29</f>
        <v>8300.6117599999998</v>
      </c>
      <c r="F18" s="18">
        <f>B18*Supuestos!$B$23</f>
        <v>80000</v>
      </c>
      <c r="G18" s="18">
        <f>Supuestos!$B$26</f>
        <v>51000</v>
      </c>
      <c r="H18" s="18">
        <f t="shared" si="1"/>
        <v>102059.38824</v>
      </c>
      <c r="I18" s="18">
        <f t="shared" si="2"/>
        <v>-8086054.5882000001</v>
      </c>
      <c r="K18" s="17">
        <f>MIN(Supuestos!$B$33, Supuestos!$B$35-L17)</f>
        <v>3</v>
      </c>
      <c r="L18" s="17">
        <f t="shared" si="3"/>
        <v>42</v>
      </c>
      <c r="M18" s="18">
        <f>L18*Supuestos!$B$14</f>
        <v>724080</v>
      </c>
      <c r="N18" s="18">
        <f>M18*Supuestos!$B$29</f>
        <v>24901.835279999999</v>
      </c>
      <c r="O18" s="18">
        <f>K18*Supuestos!$B$23</f>
        <v>240000</v>
      </c>
      <c r="P18" s="18">
        <f>Supuestos!$B$26</f>
        <v>51000</v>
      </c>
      <c r="Q18" s="18">
        <f t="shared" si="4"/>
        <v>408178.16472</v>
      </c>
      <c r="R18" s="18">
        <f t="shared" si="5"/>
        <v>-6830163.7645999985</v>
      </c>
      <c r="T18" s="17">
        <f>MIN(Supuestos!$B$34, Supuestos!$B$35-U17)</f>
        <v>6</v>
      </c>
      <c r="U18" s="17">
        <f t="shared" si="6"/>
        <v>84</v>
      </c>
      <c r="V18" s="18">
        <f>U18*Supuestos!$B$14</f>
        <v>1448160</v>
      </c>
      <c r="W18" s="18">
        <f>V18*Supuestos!$B$29</f>
        <v>49803.670559999999</v>
      </c>
      <c r="X18" s="18">
        <f>T18*Supuestos!$B$23</f>
        <v>480000</v>
      </c>
      <c r="Y18" s="18">
        <f>Supuestos!$B$26</f>
        <v>51000</v>
      </c>
      <c r="Z18" s="18">
        <f t="shared" si="7"/>
        <v>867356.32944</v>
      </c>
      <c r="AA18" s="18">
        <f t="shared" si="8"/>
        <v>-4946327.5292000007</v>
      </c>
    </row>
    <row r="19" spans="1:27" x14ac:dyDescent="0.35">
      <c r="A19" s="16">
        <v>15</v>
      </c>
      <c r="B19" s="17">
        <f>MIN(Supuestos!$B$32, Supuestos!$B$35-C18)</f>
        <v>1</v>
      </c>
      <c r="C19" s="17">
        <f t="shared" si="0"/>
        <v>15</v>
      </c>
      <c r="D19" s="18">
        <f>C19*Supuestos!$B$14</f>
        <v>258600</v>
      </c>
      <c r="E19" s="18">
        <f>D19*Supuestos!$B$29</f>
        <v>8893.5126</v>
      </c>
      <c r="F19" s="18">
        <f>B19*Supuestos!$B$23</f>
        <v>80000</v>
      </c>
      <c r="G19" s="18">
        <f>Supuestos!$B$26</f>
        <v>51000</v>
      </c>
      <c r="H19" s="18">
        <f t="shared" si="1"/>
        <v>118706.48740000001</v>
      </c>
      <c r="I19" s="18">
        <f t="shared" si="2"/>
        <v>-7967348.1008000001</v>
      </c>
      <c r="K19" s="17">
        <f>MIN(Supuestos!$B$33, Supuestos!$B$35-L18)</f>
        <v>3</v>
      </c>
      <c r="L19" s="17">
        <f t="shared" si="3"/>
        <v>45</v>
      </c>
      <c r="M19" s="18">
        <f>L19*Supuestos!$B$14</f>
        <v>775800</v>
      </c>
      <c r="N19" s="18">
        <f>M19*Supuestos!$B$29</f>
        <v>26680.537799999998</v>
      </c>
      <c r="O19" s="18">
        <f>K19*Supuestos!$B$23</f>
        <v>240000</v>
      </c>
      <c r="P19" s="18">
        <f>Supuestos!$B$26</f>
        <v>51000</v>
      </c>
      <c r="Q19" s="18">
        <f t="shared" si="4"/>
        <v>458119.46219999995</v>
      </c>
      <c r="R19" s="18">
        <f t="shared" si="5"/>
        <v>-6372044.3023999985</v>
      </c>
      <c r="T19" s="17">
        <f>MIN(Supuestos!$B$34, Supuestos!$B$35-U18)</f>
        <v>6</v>
      </c>
      <c r="U19" s="17">
        <f t="shared" si="6"/>
        <v>90</v>
      </c>
      <c r="V19" s="18">
        <f>U19*Supuestos!$B$14</f>
        <v>1551600</v>
      </c>
      <c r="W19" s="18">
        <f>V19*Supuestos!$B$29</f>
        <v>53361.075599999996</v>
      </c>
      <c r="X19" s="18">
        <f>T19*Supuestos!$B$23</f>
        <v>480000</v>
      </c>
      <c r="Y19" s="18">
        <f>Supuestos!$B$26</f>
        <v>51000</v>
      </c>
      <c r="Z19" s="18">
        <f t="shared" si="7"/>
        <v>967238.9243999999</v>
      </c>
      <c r="AA19" s="18">
        <f t="shared" si="8"/>
        <v>-3979088.6048000008</v>
      </c>
    </row>
    <row r="20" spans="1:27" x14ac:dyDescent="0.35">
      <c r="A20" s="16">
        <v>16</v>
      </c>
      <c r="B20" s="17">
        <f>MIN(Supuestos!$B$32, Supuestos!$B$35-C19)</f>
        <v>1</v>
      </c>
      <c r="C20" s="17">
        <f t="shared" si="0"/>
        <v>16</v>
      </c>
      <c r="D20" s="18">
        <f>C20*Supuestos!$B$14</f>
        <v>275840</v>
      </c>
      <c r="E20" s="18">
        <f>D20*Supuestos!$B$29</f>
        <v>9486.4134400000003</v>
      </c>
      <c r="F20" s="18">
        <f>B20*Supuestos!$B$23</f>
        <v>80000</v>
      </c>
      <c r="G20" s="18">
        <f>Supuestos!$B$26</f>
        <v>51000</v>
      </c>
      <c r="H20" s="18">
        <f t="shared" si="1"/>
        <v>135353.58656000003</v>
      </c>
      <c r="I20" s="18">
        <f t="shared" si="2"/>
        <v>-7831994.5142400004</v>
      </c>
      <c r="K20" s="17">
        <f>MIN(Supuestos!$B$33, Supuestos!$B$35-L19)</f>
        <v>3</v>
      </c>
      <c r="L20" s="17">
        <f t="shared" si="3"/>
        <v>48</v>
      </c>
      <c r="M20" s="18">
        <f>L20*Supuestos!$B$14</f>
        <v>827520</v>
      </c>
      <c r="N20" s="18">
        <f>M20*Supuestos!$B$29</f>
        <v>28459.240319999997</v>
      </c>
      <c r="O20" s="18">
        <f>K20*Supuestos!$B$23</f>
        <v>240000</v>
      </c>
      <c r="P20" s="18">
        <f>Supuestos!$B$26</f>
        <v>51000</v>
      </c>
      <c r="Q20" s="18">
        <f t="shared" si="4"/>
        <v>508060.75968000002</v>
      </c>
      <c r="R20" s="18">
        <f t="shared" si="5"/>
        <v>-5863983.5427199984</v>
      </c>
      <c r="T20" s="17">
        <f>MIN(Supuestos!$B$34, Supuestos!$B$35-U19)</f>
        <v>6</v>
      </c>
      <c r="U20" s="17">
        <f t="shared" si="6"/>
        <v>96</v>
      </c>
      <c r="V20" s="18">
        <f>U20*Supuestos!$B$14</f>
        <v>1655040</v>
      </c>
      <c r="W20" s="18">
        <f>V20*Supuestos!$B$29</f>
        <v>56918.480639999994</v>
      </c>
      <c r="X20" s="18">
        <f>T20*Supuestos!$B$23</f>
        <v>480000</v>
      </c>
      <c r="Y20" s="18">
        <f>Supuestos!$B$26</f>
        <v>51000</v>
      </c>
      <c r="Z20" s="18">
        <f t="shared" si="7"/>
        <v>1067121.51936</v>
      </c>
      <c r="AA20" s="18">
        <f t="shared" si="8"/>
        <v>-2911967.0854400005</v>
      </c>
    </row>
    <row r="21" spans="1:27" x14ac:dyDescent="0.35">
      <c r="A21" s="16">
        <v>17</v>
      </c>
      <c r="B21" s="17">
        <f>MIN(Supuestos!$B$32, Supuestos!$B$35-C20)</f>
        <v>1</v>
      </c>
      <c r="C21" s="17">
        <f t="shared" si="0"/>
        <v>17</v>
      </c>
      <c r="D21" s="18">
        <f>C21*Supuestos!$B$14</f>
        <v>293080</v>
      </c>
      <c r="E21" s="18">
        <f>D21*Supuestos!$B$29</f>
        <v>10079.314279999999</v>
      </c>
      <c r="F21" s="18">
        <f>B21*Supuestos!$B$23</f>
        <v>80000</v>
      </c>
      <c r="G21" s="18">
        <f>Supuestos!$B$26</f>
        <v>51000</v>
      </c>
      <c r="H21" s="18">
        <f t="shared" si="1"/>
        <v>152000.68572000001</v>
      </c>
      <c r="I21" s="18">
        <f t="shared" si="2"/>
        <v>-7679993.82852</v>
      </c>
      <c r="K21" s="17">
        <f>MIN(Supuestos!$B$33, Supuestos!$B$35-L20)</f>
        <v>3</v>
      </c>
      <c r="L21" s="17">
        <f t="shared" si="3"/>
        <v>51</v>
      </c>
      <c r="M21" s="18">
        <f>L21*Supuestos!$B$14</f>
        <v>879240</v>
      </c>
      <c r="N21" s="18">
        <f>M21*Supuestos!$B$29</f>
        <v>30237.94284</v>
      </c>
      <c r="O21" s="18">
        <f>K21*Supuestos!$B$23</f>
        <v>240000</v>
      </c>
      <c r="P21" s="18">
        <f>Supuestos!$B$26</f>
        <v>51000</v>
      </c>
      <c r="Q21" s="18">
        <f t="shared" si="4"/>
        <v>558002.05715999997</v>
      </c>
      <c r="R21" s="18">
        <f t="shared" si="5"/>
        <v>-5305981.4855599981</v>
      </c>
      <c r="T21" s="17">
        <f>MIN(Supuestos!$B$34, Supuestos!$B$35-U20)</f>
        <v>4</v>
      </c>
      <c r="U21" s="17">
        <f t="shared" si="6"/>
        <v>100</v>
      </c>
      <c r="V21" s="18">
        <f>U21*Supuestos!$B$14</f>
        <v>1724000</v>
      </c>
      <c r="W21" s="18">
        <f>V21*Supuestos!$B$29</f>
        <v>59290.083999999995</v>
      </c>
      <c r="X21" s="18">
        <f>T21*Supuestos!$B$23</f>
        <v>320000</v>
      </c>
      <c r="Y21" s="18">
        <f>Supuestos!$B$26</f>
        <v>51000</v>
      </c>
      <c r="Z21" s="18">
        <f t="shared" si="7"/>
        <v>1293709.916</v>
      </c>
      <c r="AA21" s="18">
        <f t="shared" si="8"/>
        <v>-1618257.1694400006</v>
      </c>
    </row>
    <row r="22" spans="1:27" x14ac:dyDescent="0.35">
      <c r="A22" s="16">
        <v>18</v>
      </c>
      <c r="B22" s="17">
        <f>MIN(Supuestos!$B$32, Supuestos!$B$35-C21)</f>
        <v>1</v>
      </c>
      <c r="C22" s="17">
        <f t="shared" si="0"/>
        <v>18</v>
      </c>
      <c r="D22" s="18">
        <f>C22*Supuestos!$B$14</f>
        <v>310320</v>
      </c>
      <c r="E22" s="18">
        <f>D22*Supuestos!$B$29</f>
        <v>10672.215119999999</v>
      </c>
      <c r="F22" s="18">
        <f>B22*Supuestos!$B$23</f>
        <v>80000</v>
      </c>
      <c r="G22" s="18">
        <f>Supuestos!$B$26</f>
        <v>51000</v>
      </c>
      <c r="H22" s="18">
        <f t="shared" si="1"/>
        <v>168647.78487999999</v>
      </c>
      <c r="I22" s="18">
        <f t="shared" si="2"/>
        <v>-7511346.0436399998</v>
      </c>
      <c r="K22" s="17">
        <f>MIN(Supuestos!$B$33, Supuestos!$B$35-L21)</f>
        <v>3</v>
      </c>
      <c r="L22" s="17">
        <f t="shared" si="3"/>
        <v>54</v>
      </c>
      <c r="M22" s="18">
        <f>L22*Supuestos!$B$14</f>
        <v>930960</v>
      </c>
      <c r="N22" s="18">
        <f>M22*Supuestos!$B$29</f>
        <v>32016.645359999999</v>
      </c>
      <c r="O22" s="18">
        <f>K22*Supuestos!$B$23</f>
        <v>240000</v>
      </c>
      <c r="P22" s="18">
        <f>Supuestos!$B$26</f>
        <v>51000</v>
      </c>
      <c r="Q22" s="18">
        <f t="shared" si="4"/>
        <v>607943.35464000003</v>
      </c>
      <c r="R22" s="18">
        <f t="shared" si="5"/>
        <v>-4698038.1309199985</v>
      </c>
      <c r="T22" s="17">
        <f>MIN(Supuestos!$B$34, Supuestos!$B$35-U21)</f>
        <v>0</v>
      </c>
      <c r="U22" s="17">
        <f t="shared" si="6"/>
        <v>100</v>
      </c>
      <c r="V22" s="18">
        <f>U22*Supuestos!$B$14</f>
        <v>1724000</v>
      </c>
      <c r="W22" s="18">
        <f>V22*Supuestos!$B$29</f>
        <v>59290.083999999995</v>
      </c>
      <c r="X22" s="18">
        <f>T22*Supuestos!$B$23</f>
        <v>0</v>
      </c>
      <c r="Y22" s="18">
        <f>Supuestos!$B$26</f>
        <v>51000</v>
      </c>
      <c r="Z22" s="18">
        <f t="shared" si="7"/>
        <v>1613709.916</v>
      </c>
      <c r="AA22" s="18">
        <f t="shared" si="8"/>
        <v>-4547.2534400005825</v>
      </c>
    </row>
    <row r="23" spans="1:27" x14ac:dyDescent="0.35">
      <c r="A23" s="16">
        <v>19</v>
      </c>
      <c r="B23" s="17">
        <f>MIN(Supuestos!$B$32, Supuestos!$B$35-C22)</f>
        <v>1</v>
      </c>
      <c r="C23" s="17">
        <f t="shared" si="0"/>
        <v>19</v>
      </c>
      <c r="D23" s="18">
        <f>C23*Supuestos!$B$14</f>
        <v>327560</v>
      </c>
      <c r="E23" s="18">
        <f>D23*Supuestos!$B$29</f>
        <v>11265.115959999999</v>
      </c>
      <c r="F23" s="18">
        <f>B23*Supuestos!$B$23</f>
        <v>80000</v>
      </c>
      <c r="G23" s="18">
        <f>Supuestos!$B$26</f>
        <v>51000</v>
      </c>
      <c r="H23" s="18">
        <f t="shared" si="1"/>
        <v>185294.88403999998</v>
      </c>
      <c r="I23" s="18">
        <f t="shared" si="2"/>
        <v>-7326051.1595999999</v>
      </c>
      <c r="K23" s="17">
        <f>MIN(Supuestos!$B$33, Supuestos!$B$35-L22)</f>
        <v>3</v>
      </c>
      <c r="L23" s="17">
        <f t="shared" si="3"/>
        <v>57</v>
      </c>
      <c r="M23" s="18">
        <f>L23*Supuestos!$B$14</f>
        <v>982680</v>
      </c>
      <c r="N23" s="18">
        <f>M23*Supuestos!$B$29</f>
        <v>33795.347880000001</v>
      </c>
      <c r="O23" s="18">
        <f>K23*Supuestos!$B$23</f>
        <v>240000</v>
      </c>
      <c r="P23" s="18">
        <f>Supuestos!$B$26</f>
        <v>51000</v>
      </c>
      <c r="Q23" s="18">
        <f t="shared" si="4"/>
        <v>657884.65211999998</v>
      </c>
      <c r="R23" s="18">
        <f t="shared" si="5"/>
        <v>-4040153.4787999988</v>
      </c>
      <c r="T23" s="17">
        <f>MIN(Supuestos!$B$34, Supuestos!$B$35-U22)</f>
        <v>0</v>
      </c>
      <c r="U23" s="17">
        <f t="shared" si="6"/>
        <v>100</v>
      </c>
      <c r="V23" s="18">
        <f>U23*Supuestos!$B$14</f>
        <v>1724000</v>
      </c>
      <c r="W23" s="18">
        <f>V23*Supuestos!$B$29</f>
        <v>59290.083999999995</v>
      </c>
      <c r="X23" s="18">
        <f>T23*Supuestos!$B$23</f>
        <v>0</v>
      </c>
      <c r="Y23" s="18">
        <f>Supuestos!$B$26</f>
        <v>51000</v>
      </c>
      <c r="Z23" s="18">
        <f t="shared" si="7"/>
        <v>1613709.916</v>
      </c>
      <c r="AA23" s="18">
        <f t="shared" si="8"/>
        <v>1609162.6625599994</v>
      </c>
    </row>
    <row r="24" spans="1:27" x14ac:dyDescent="0.35">
      <c r="A24" s="16">
        <v>20</v>
      </c>
      <c r="B24" s="17">
        <f>MIN(Supuestos!$B$32, Supuestos!$B$35-C23)</f>
        <v>1</v>
      </c>
      <c r="C24" s="17">
        <f t="shared" si="0"/>
        <v>20</v>
      </c>
      <c r="D24" s="18">
        <f>C24*Supuestos!$B$14</f>
        <v>344800</v>
      </c>
      <c r="E24" s="18">
        <f>D24*Supuestos!$B$29</f>
        <v>11858.016799999999</v>
      </c>
      <c r="F24" s="18">
        <f>B24*Supuestos!$B$23</f>
        <v>80000</v>
      </c>
      <c r="G24" s="18">
        <f>Supuestos!$B$26</f>
        <v>51000</v>
      </c>
      <c r="H24" s="18">
        <f t="shared" si="1"/>
        <v>201941.98320000002</v>
      </c>
      <c r="I24" s="18">
        <f t="shared" si="2"/>
        <v>-7124109.1764000002</v>
      </c>
      <c r="K24" s="17">
        <f>MIN(Supuestos!$B$33, Supuestos!$B$35-L23)</f>
        <v>3</v>
      </c>
      <c r="L24" s="17">
        <f t="shared" si="3"/>
        <v>60</v>
      </c>
      <c r="M24" s="18">
        <f>L24*Supuestos!$B$14</f>
        <v>1034400</v>
      </c>
      <c r="N24" s="18">
        <f>M24*Supuestos!$B$29</f>
        <v>35574.0504</v>
      </c>
      <c r="O24" s="18">
        <f>K24*Supuestos!$B$23</f>
        <v>240000</v>
      </c>
      <c r="P24" s="18">
        <f>Supuestos!$B$26</f>
        <v>51000</v>
      </c>
      <c r="Q24" s="18">
        <f t="shared" si="4"/>
        <v>707825.94960000005</v>
      </c>
      <c r="R24" s="18">
        <f t="shared" si="5"/>
        <v>-3332327.5291999988</v>
      </c>
      <c r="T24" s="17">
        <f>MIN(Supuestos!$B$34, Supuestos!$B$35-U23)</f>
        <v>0</v>
      </c>
      <c r="U24" s="17">
        <f t="shared" si="6"/>
        <v>100</v>
      </c>
      <c r="V24" s="18">
        <f>U24*Supuestos!$B$14</f>
        <v>1724000</v>
      </c>
      <c r="W24" s="18">
        <f>V24*Supuestos!$B$29</f>
        <v>59290.083999999995</v>
      </c>
      <c r="X24" s="18">
        <f>T24*Supuestos!$B$23</f>
        <v>0</v>
      </c>
      <c r="Y24" s="18">
        <f>Supuestos!$B$26</f>
        <v>51000</v>
      </c>
      <c r="Z24" s="18">
        <f t="shared" si="7"/>
        <v>1613709.916</v>
      </c>
      <c r="AA24" s="18">
        <f t="shared" si="8"/>
        <v>3222872.5785599994</v>
      </c>
    </row>
    <row r="25" spans="1:27" x14ac:dyDescent="0.35">
      <c r="A25" s="16">
        <v>21</v>
      </c>
      <c r="B25" s="17">
        <f>MIN(Supuestos!$B$32, Supuestos!$B$35-C24)</f>
        <v>1</v>
      </c>
      <c r="C25" s="17">
        <f t="shared" si="0"/>
        <v>21</v>
      </c>
      <c r="D25" s="18">
        <f>C25*Supuestos!$B$14</f>
        <v>362040</v>
      </c>
      <c r="E25" s="18">
        <f>D25*Supuestos!$B$29</f>
        <v>12450.91764</v>
      </c>
      <c r="F25" s="18">
        <f>B25*Supuestos!$B$23</f>
        <v>80000</v>
      </c>
      <c r="G25" s="18">
        <f>Supuestos!$B$26</f>
        <v>51000</v>
      </c>
      <c r="H25" s="18">
        <f t="shared" si="1"/>
        <v>218589.08236</v>
      </c>
      <c r="I25" s="18">
        <f t="shared" si="2"/>
        <v>-6905520.0940399999</v>
      </c>
      <c r="K25" s="17">
        <f>MIN(Supuestos!$B$33, Supuestos!$B$35-L24)</f>
        <v>3</v>
      </c>
      <c r="L25" s="17">
        <f t="shared" si="3"/>
        <v>63</v>
      </c>
      <c r="M25" s="18">
        <f>L25*Supuestos!$B$14</f>
        <v>1086120</v>
      </c>
      <c r="N25" s="18">
        <f>M25*Supuestos!$B$29</f>
        <v>37352.752919999999</v>
      </c>
      <c r="O25" s="18">
        <f>K25*Supuestos!$B$23</f>
        <v>240000</v>
      </c>
      <c r="P25" s="18">
        <f>Supuestos!$B$26</f>
        <v>51000</v>
      </c>
      <c r="Q25" s="18">
        <f t="shared" si="4"/>
        <v>757767.24708000012</v>
      </c>
      <c r="R25" s="18">
        <f t="shared" si="5"/>
        <v>-2574560.2821199987</v>
      </c>
      <c r="T25" s="17">
        <f>MIN(Supuestos!$B$34, Supuestos!$B$35-U24)</f>
        <v>0</v>
      </c>
      <c r="U25" s="17">
        <f t="shared" si="6"/>
        <v>100</v>
      </c>
      <c r="V25" s="18">
        <f>U25*Supuestos!$B$14</f>
        <v>1724000</v>
      </c>
      <c r="W25" s="18">
        <f>V25*Supuestos!$B$29</f>
        <v>59290.083999999995</v>
      </c>
      <c r="X25" s="18">
        <f>T25*Supuestos!$B$23</f>
        <v>0</v>
      </c>
      <c r="Y25" s="18">
        <f>Supuestos!$B$26</f>
        <v>51000</v>
      </c>
      <c r="Z25" s="18">
        <f t="shared" si="7"/>
        <v>1613709.916</v>
      </c>
      <c r="AA25" s="18">
        <f t="shared" si="8"/>
        <v>4836582.4945599996</v>
      </c>
    </row>
    <row r="26" spans="1:27" x14ac:dyDescent="0.35">
      <c r="A26" s="16">
        <v>22</v>
      </c>
      <c r="B26" s="17">
        <f>MIN(Supuestos!$B$32, Supuestos!$B$35-C25)</f>
        <v>1</v>
      </c>
      <c r="C26" s="17">
        <f t="shared" si="0"/>
        <v>22</v>
      </c>
      <c r="D26" s="18">
        <f>C26*Supuestos!$B$14</f>
        <v>379280</v>
      </c>
      <c r="E26" s="18">
        <f>D26*Supuestos!$B$29</f>
        <v>13043.81848</v>
      </c>
      <c r="F26" s="18">
        <f>B26*Supuestos!$B$23</f>
        <v>80000</v>
      </c>
      <c r="G26" s="18">
        <f>Supuestos!$B$26</f>
        <v>51000</v>
      </c>
      <c r="H26" s="18">
        <f t="shared" si="1"/>
        <v>235236.18151999998</v>
      </c>
      <c r="I26" s="18">
        <f t="shared" si="2"/>
        <v>-6670283.9125199998</v>
      </c>
      <c r="K26" s="17">
        <f>MIN(Supuestos!$B$33, Supuestos!$B$35-L25)</f>
        <v>3</v>
      </c>
      <c r="L26" s="17">
        <f t="shared" si="3"/>
        <v>66</v>
      </c>
      <c r="M26" s="18">
        <f>L26*Supuestos!$B$14</f>
        <v>1137840</v>
      </c>
      <c r="N26" s="18">
        <f>M26*Supuestos!$B$29</f>
        <v>39131.455439999998</v>
      </c>
      <c r="O26" s="18">
        <f>K26*Supuestos!$B$23</f>
        <v>240000</v>
      </c>
      <c r="P26" s="18">
        <f>Supuestos!$B$26</f>
        <v>51000</v>
      </c>
      <c r="Q26" s="18">
        <f t="shared" si="4"/>
        <v>807708.54456000007</v>
      </c>
      <c r="R26" s="18">
        <f t="shared" si="5"/>
        <v>-1766851.7375599986</v>
      </c>
      <c r="T26" s="17">
        <f>MIN(Supuestos!$B$34, Supuestos!$B$35-U25)</f>
        <v>0</v>
      </c>
      <c r="U26" s="17">
        <f t="shared" si="6"/>
        <v>100</v>
      </c>
      <c r="V26" s="18">
        <f>U26*Supuestos!$B$14</f>
        <v>1724000</v>
      </c>
      <c r="W26" s="18">
        <f>V26*Supuestos!$B$29</f>
        <v>59290.083999999995</v>
      </c>
      <c r="X26" s="18">
        <f>T26*Supuestos!$B$23</f>
        <v>0</v>
      </c>
      <c r="Y26" s="18">
        <f>Supuestos!$B$26</f>
        <v>51000</v>
      </c>
      <c r="Z26" s="18">
        <f t="shared" si="7"/>
        <v>1613709.916</v>
      </c>
      <c r="AA26" s="18">
        <f t="shared" si="8"/>
        <v>6450292.4105599998</v>
      </c>
    </row>
    <row r="27" spans="1:27" x14ac:dyDescent="0.35">
      <c r="A27" s="16">
        <v>23</v>
      </c>
      <c r="B27" s="17">
        <f>MIN(Supuestos!$B$32, Supuestos!$B$35-C26)</f>
        <v>1</v>
      </c>
      <c r="C27" s="17">
        <f t="shared" si="0"/>
        <v>23</v>
      </c>
      <c r="D27" s="18">
        <f>C27*Supuestos!$B$14</f>
        <v>396520</v>
      </c>
      <c r="E27" s="18">
        <f>D27*Supuestos!$B$29</f>
        <v>13636.719319999998</v>
      </c>
      <c r="F27" s="18">
        <f>B27*Supuestos!$B$23</f>
        <v>80000</v>
      </c>
      <c r="G27" s="18">
        <f>Supuestos!$B$26</f>
        <v>51000</v>
      </c>
      <c r="H27" s="18">
        <f t="shared" si="1"/>
        <v>251883.28068000003</v>
      </c>
      <c r="I27" s="18">
        <f t="shared" si="2"/>
        <v>-6418400.6318399999</v>
      </c>
      <c r="K27" s="17">
        <f>MIN(Supuestos!$B$33, Supuestos!$B$35-L26)</f>
        <v>3</v>
      </c>
      <c r="L27" s="17">
        <f t="shared" si="3"/>
        <v>69</v>
      </c>
      <c r="M27" s="18">
        <f>L27*Supuestos!$B$14</f>
        <v>1189560</v>
      </c>
      <c r="N27" s="18">
        <f>M27*Supuestos!$B$29</f>
        <v>40910.157959999997</v>
      </c>
      <c r="O27" s="18">
        <f>K27*Supuestos!$B$23</f>
        <v>240000</v>
      </c>
      <c r="P27" s="18">
        <f>Supuestos!$B$26</f>
        <v>51000</v>
      </c>
      <c r="Q27" s="18">
        <f t="shared" si="4"/>
        <v>857649.84204000002</v>
      </c>
      <c r="R27" s="18">
        <f t="shared" si="5"/>
        <v>-909201.89551999862</v>
      </c>
      <c r="T27" s="17">
        <f>MIN(Supuestos!$B$34, Supuestos!$B$35-U26)</f>
        <v>0</v>
      </c>
      <c r="U27" s="17">
        <f t="shared" si="6"/>
        <v>100</v>
      </c>
      <c r="V27" s="18">
        <f>U27*Supuestos!$B$14</f>
        <v>1724000</v>
      </c>
      <c r="W27" s="18">
        <f>V27*Supuestos!$B$29</f>
        <v>59290.083999999995</v>
      </c>
      <c r="X27" s="18">
        <f>T27*Supuestos!$B$23</f>
        <v>0</v>
      </c>
      <c r="Y27" s="18">
        <f>Supuestos!$B$26</f>
        <v>51000</v>
      </c>
      <c r="Z27" s="18">
        <f t="shared" si="7"/>
        <v>1613709.916</v>
      </c>
      <c r="AA27" s="18">
        <f t="shared" si="8"/>
        <v>8064002.32656</v>
      </c>
    </row>
    <row r="28" spans="1:27" x14ac:dyDescent="0.35">
      <c r="A28" s="16">
        <v>24</v>
      </c>
      <c r="B28" s="17">
        <f>MIN(Supuestos!$B$32, Supuestos!$B$35-C27)</f>
        <v>1</v>
      </c>
      <c r="C28" s="17">
        <f t="shared" si="0"/>
        <v>24</v>
      </c>
      <c r="D28" s="18">
        <f>C28*Supuestos!$B$14</f>
        <v>413760</v>
      </c>
      <c r="E28" s="18">
        <f>D28*Supuestos!$B$29</f>
        <v>14229.620159999999</v>
      </c>
      <c r="F28" s="18">
        <f>B28*Supuestos!$B$23</f>
        <v>80000</v>
      </c>
      <c r="G28" s="18">
        <f>Supuestos!$B$26</f>
        <v>51000</v>
      </c>
      <c r="H28" s="18">
        <f t="shared" si="1"/>
        <v>268530.37984000001</v>
      </c>
      <c r="I28" s="18">
        <f t="shared" si="2"/>
        <v>-6149870.2520000003</v>
      </c>
      <c r="K28" s="17">
        <f>MIN(Supuestos!$B$33, Supuestos!$B$35-L27)</f>
        <v>3</v>
      </c>
      <c r="L28" s="17">
        <f t="shared" si="3"/>
        <v>72</v>
      </c>
      <c r="M28" s="18">
        <f>L28*Supuestos!$B$14</f>
        <v>1241280</v>
      </c>
      <c r="N28" s="18">
        <f>M28*Supuestos!$B$29</f>
        <v>42688.860479999996</v>
      </c>
      <c r="O28" s="18">
        <f>K28*Supuestos!$B$23</f>
        <v>240000</v>
      </c>
      <c r="P28" s="18">
        <f>Supuestos!$B$26</f>
        <v>51000</v>
      </c>
      <c r="Q28" s="18">
        <f t="shared" si="4"/>
        <v>907591.13951999997</v>
      </c>
      <c r="R28" s="18">
        <f t="shared" si="5"/>
        <v>-1610.7559999986552</v>
      </c>
      <c r="T28" s="17">
        <f>MIN(Supuestos!$B$34, Supuestos!$B$35-U27)</f>
        <v>0</v>
      </c>
      <c r="U28" s="17">
        <f t="shared" si="6"/>
        <v>100</v>
      </c>
      <c r="V28" s="18">
        <f>U28*Supuestos!$B$14</f>
        <v>1724000</v>
      </c>
      <c r="W28" s="18">
        <f>V28*Supuestos!$B$29</f>
        <v>59290.083999999995</v>
      </c>
      <c r="X28" s="18">
        <f>T28*Supuestos!$B$23</f>
        <v>0</v>
      </c>
      <c r="Y28" s="18">
        <f>Supuestos!$B$26</f>
        <v>51000</v>
      </c>
      <c r="Z28" s="18">
        <f t="shared" si="7"/>
        <v>1613709.916</v>
      </c>
      <c r="AA28" s="18">
        <f t="shared" si="8"/>
        <v>9677712.2425599992</v>
      </c>
    </row>
    <row r="29" spans="1:27" x14ac:dyDescent="0.35">
      <c r="A29" s="16">
        <v>25</v>
      </c>
      <c r="B29" s="17">
        <f>MIN(Supuestos!$B$32, Supuestos!$B$35-C28)</f>
        <v>1</v>
      </c>
      <c r="C29" s="17">
        <f t="shared" si="0"/>
        <v>25</v>
      </c>
      <c r="D29" s="18">
        <f>C29*Supuestos!$B$14</f>
        <v>431000</v>
      </c>
      <c r="E29" s="18">
        <f>D29*Supuestos!$B$29</f>
        <v>14822.520999999999</v>
      </c>
      <c r="F29" s="18">
        <f>B29*Supuestos!$B$23</f>
        <v>80000</v>
      </c>
      <c r="G29" s="18">
        <f>Supuestos!$B$26</f>
        <v>51000</v>
      </c>
      <c r="H29" s="18">
        <f t="shared" si="1"/>
        <v>285177.47899999999</v>
      </c>
      <c r="I29" s="18">
        <f t="shared" si="2"/>
        <v>-5864692.773</v>
      </c>
      <c r="K29" s="17">
        <f>MIN(Supuestos!$B$33, Supuestos!$B$35-L28)</f>
        <v>3</v>
      </c>
      <c r="L29" s="17">
        <f t="shared" si="3"/>
        <v>75</v>
      </c>
      <c r="M29" s="18">
        <f>L29*Supuestos!$B$14</f>
        <v>1293000</v>
      </c>
      <c r="N29" s="18">
        <f>M29*Supuestos!$B$29</f>
        <v>44467.562999999995</v>
      </c>
      <c r="O29" s="18">
        <f>K29*Supuestos!$B$23</f>
        <v>240000</v>
      </c>
      <c r="P29" s="18">
        <f>Supuestos!$B$26</f>
        <v>51000</v>
      </c>
      <c r="Q29" s="18">
        <f t="shared" si="4"/>
        <v>957532.43699999992</v>
      </c>
      <c r="R29" s="18">
        <f t="shared" si="5"/>
        <v>955921.68100000126</v>
      </c>
      <c r="T29" s="17">
        <f>MIN(Supuestos!$B$34, Supuestos!$B$35-U28)</f>
        <v>0</v>
      </c>
      <c r="U29" s="17">
        <f t="shared" si="6"/>
        <v>100</v>
      </c>
      <c r="V29" s="18">
        <f>U29*Supuestos!$B$14</f>
        <v>1724000</v>
      </c>
      <c r="W29" s="18">
        <f>V29*Supuestos!$B$29</f>
        <v>59290.083999999995</v>
      </c>
      <c r="X29" s="18">
        <f>T29*Supuestos!$B$23</f>
        <v>0</v>
      </c>
      <c r="Y29" s="18">
        <f>Supuestos!$B$26</f>
        <v>51000</v>
      </c>
      <c r="Z29" s="18">
        <f t="shared" si="7"/>
        <v>1613709.916</v>
      </c>
      <c r="AA29" s="18">
        <f t="shared" si="8"/>
        <v>11291422.158559998</v>
      </c>
    </row>
    <row r="30" spans="1:27" x14ac:dyDescent="0.35">
      <c r="A30" s="16">
        <v>26</v>
      </c>
      <c r="B30" s="17">
        <f>MIN(Supuestos!$B$32, Supuestos!$B$35-C29)</f>
        <v>1</v>
      </c>
      <c r="C30" s="17">
        <f t="shared" si="0"/>
        <v>26</v>
      </c>
      <c r="D30" s="18">
        <f>C30*Supuestos!$B$14</f>
        <v>448240</v>
      </c>
      <c r="E30" s="18">
        <f>D30*Supuestos!$B$29</f>
        <v>15415.421839999999</v>
      </c>
      <c r="F30" s="18">
        <f>B30*Supuestos!$B$23</f>
        <v>80000</v>
      </c>
      <c r="G30" s="18">
        <f>Supuestos!$B$26</f>
        <v>51000</v>
      </c>
      <c r="H30" s="18">
        <f t="shared" si="1"/>
        <v>301824.57815999998</v>
      </c>
      <c r="I30" s="18">
        <f t="shared" si="2"/>
        <v>-5562868.19484</v>
      </c>
      <c r="K30" s="17">
        <f>MIN(Supuestos!$B$33, Supuestos!$B$35-L29)</f>
        <v>3</v>
      </c>
      <c r="L30" s="17">
        <f t="shared" si="3"/>
        <v>78</v>
      </c>
      <c r="M30" s="18">
        <f>L30*Supuestos!$B$14</f>
        <v>1344720</v>
      </c>
      <c r="N30" s="18">
        <f>M30*Supuestos!$B$29</f>
        <v>46246.265520000001</v>
      </c>
      <c r="O30" s="18">
        <f>K30*Supuestos!$B$23</f>
        <v>240000</v>
      </c>
      <c r="P30" s="18">
        <f>Supuestos!$B$26</f>
        <v>51000</v>
      </c>
      <c r="Q30" s="18">
        <f t="shared" si="4"/>
        <v>1007473.7344800001</v>
      </c>
      <c r="R30" s="18">
        <f t="shared" si="5"/>
        <v>1963395.4154800014</v>
      </c>
      <c r="T30" s="17">
        <f>MIN(Supuestos!$B$34, Supuestos!$B$35-U29)</f>
        <v>0</v>
      </c>
      <c r="U30" s="17">
        <f t="shared" si="6"/>
        <v>100</v>
      </c>
      <c r="V30" s="18">
        <f>U30*Supuestos!$B$14</f>
        <v>1724000</v>
      </c>
      <c r="W30" s="18">
        <f>V30*Supuestos!$B$29</f>
        <v>59290.083999999995</v>
      </c>
      <c r="X30" s="18">
        <f>T30*Supuestos!$B$23</f>
        <v>0</v>
      </c>
      <c r="Y30" s="18">
        <f>Supuestos!$B$26</f>
        <v>51000</v>
      </c>
      <c r="Z30" s="18">
        <f t="shared" si="7"/>
        <v>1613709.916</v>
      </c>
      <c r="AA30" s="18">
        <f t="shared" si="8"/>
        <v>12905132.074559998</v>
      </c>
    </row>
    <row r="31" spans="1:27" x14ac:dyDescent="0.35">
      <c r="A31" s="16">
        <v>27</v>
      </c>
      <c r="B31" s="17">
        <f>MIN(Supuestos!$B$32, Supuestos!$B$35-C30)</f>
        <v>1</v>
      </c>
      <c r="C31" s="17">
        <f t="shared" si="0"/>
        <v>27</v>
      </c>
      <c r="D31" s="18">
        <f>C31*Supuestos!$B$14</f>
        <v>465480</v>
      </c>
      <c r="E31" s="18">
        <f>D31*Supuestos!$B$29</f>
        <v>16008.322679999999</v>
      </c>
      <c r="F31" s="18">
        <f>B31*Supuestos!$B$23</f>
        <v>80000</v>
      </c>
      <c r="G31" s="18">
        <f>Supuestos!$B$26</f>
        <v>51000</v>
      </c>
      <c r="H31" s="18">
        <f t="shared" si="1"/>
        <v>318471.67732000002</v>
      </c>
      <c r="I31" s="18">
        <f t="shared" si="2"/>
        <v>-5244396.5175200002</v>
      </c>
      <c r="K31" s="17">
        <f>MIN(Supuestos!$B$33, Supuestos!$B$35-L30)</f>
        <v>3</v>
      </c>
      <c r="L31" s="17">
        <f t="shared" si="3"/>
        <v>81</v>
      </c>
      <c r="M31" s="18">
        <f>L31*Supuestos!$B$14</f>
        <v>1396440</v>
      </c>
      <c r="N31" s="18">
        <f>M31*Supuestos!$B$29</f>
        <v>48024.96804</v>
      </c>
      <c r="O31" s="18">
        <f>K31*Supuestos!$B$23</f>
        <v>240000</v>
      </c>
      <c r="P31" s="18">
        <f>Supuestos!$B$26</f>
        <v>51000</v>
      </c>
      <c r="Q31" s="18">
        <f t="shared" si="4"/>
        <v>1057415.0319600001</v>
      </c>
      <c r="R31" s="18">
        <f t="shared" si="5"/>
        <v>3020810.4474400012</v>
      </c>
      <c r="T31" s="17">
        <f>MIN(Supuestos!$B$34, Supuestos!$B$35-U30)</f>
        <v>0</v>
      </c>
      <c r="U31" s="17">
        <f t="shared" si="6"/>
        <v>100</v>
      </c>
      <c r="V31" s="18">
        <f>U31*Supuestos!$B$14</f>
        <v>1724000</v>
      </c>
      <c r="W31" s="18">
        <f>V31*Supuestos!$B$29</f>
        <v>59290.083999999995</v>
      </c>
      <c r="X31" s="18">
        <f>T31*Supuestos!$B$23</f>
        <v>0</v>
      </c>
      <c r="Y31" s="18">
        <f>Supuestos!$B$26</f>
        <v>51000</v>
      </c>
      <c r="Z31" s="18">
        <f t="shared" si="7"/>
        <v>1613709.916</v>
      </c>
      <c r="AA31" s="18">
        <f t="shared" si="8"/>
        <v>14518841.990559997</v>
      </c>
    </row>
    <row r="32" spans="1:27" x14ac:dyDescent="0.35">
      <c r="A32" s="16">
        <v>28</v>
      </c>
      <c r="B32" s="17">
        <f>MIN(Supuestos!$B$32, Supuestos!$B$35-C31)</f>
        <v>1</v>
      </c>
      <c r="C32" s="17">
        <f t="shared" si="0"/>
        <v>28</v>
      </c>
      <c r="D32" s="18">
        <f>C32*Supuestos!$B$14</f>
        <v>482720</v>
      </c>
      <c r="E32" s="18">
        <f>D32*Supuestos!$B$29</f>
        <v>16601.22352</v>
      </c>
      <c r="F32" s="18">
        <f>B32*Supuestos!$B$23</f>
        <v>80000</v>
      </c>
      <c r="G32" s="18">
        <f>Supuestos!$B$26</f>
        <v>51000</v>
      </c>
      <c r="H32" s="18">
        <f t="shared" si="1"/>
        <v>335118.77648</v>
      </c>
      <c r="I32" s="18">
        <f t="shared" si="2"/>
        <v>-4909277.7410400007</v>
      </c>
      <c r="K32" s="17">
        <f>MIN(Supuestos!$B$33, Supuestos!$B$35-L31)</f>
        <v>3</v>
      </c>
      <c r="L32" s="17">
        <f t="shared" si="3"/>
        <v>84</v>
      </c>
      <c r="M32" s="18">
        <f>L32*Supuestos!$B$14</f>
        <v>1448160</v>
      </c>
      <c r="N32" s="18">
        <f>M32*Supuestos!$B$29</f>
        <v>49803.670559999999</v>
      </c>
      <c r="O32" s="18">
        <f>K32*Supuestos!$B$23</f>
        <v>240000</v>
      </c>
      <c r="P32" s="18">
        <f>Supuestos!$B$26</f>
        <v>51000</v>
      </c>
      <c r="Q32" s="18">
        <f t="shared" si="4"/>
        <v>1107356.32944</v>
      </c>
      <c r="R32" s="18">
        <f t="shared" si="5"/>
        <v>4128166.7768800012</v>
      </c>
      <c r="T32" s="17">
        <f>MIN(Supuestos!$B$34, Supuestos!$B$35-U31)</f>
        <v>0</v>
      </c>
      <c r="U32" s="17">
        <f t="shared" si="6"/>
        <v>100</v>
      </c>
      <c r="V32" s="18">
        <f>U32*Supuestos!$B$14</f>
        <v>1724000</v>
      </c>
      <c r="W32" s="18">
        <f>V32*Supuestos!$B$29</f>
        <v>59290.083999999995</v>
      </c>
      <c r="X32" s="18">
        <f>T32*Supuestos!$B$23</f>
        <v>0</v>
      </c>
      <c r="Y32" s="18">
        <f>Supuestos!$B$26</f>
        <v>51000</v>
      </c>
      <c r="Z32" s="18">
        <f t="shared" si="7"/>
        <v>1613709.916</v>
      </c>
      <c r="AA32" s="18">
        <f t="shared" si="8"/>
        <v>16132551.906559996</v>
      </c>
    </row>
    <row r="33" spans="1:27" x14ac:dyDescent="0.35">
      <c r="A33" s="16">
        <v>29</v>
      </c>
      <c r="B33" s="17">
        <f>MIN(Supuestos!$B$32, Supuestos!$B$35-C32)</f>
        <v>1</v>
      </c>
      <c r="C33" s="17">
        <f t="shared" si="0"/>
        <v>29</v>
      </c>
      <c r="D33" s="18">
        <f>C33*Supuestos!$B$14</f>
        <v>499960</v>
      </c>
      <c r="E33" s="18">
        <f>D33*Supuestos!$B$29</f>
        <v>17194.124359999998</v>
      </c>
      <c r="F33" s="18">
        <f>B33*Supuestos!$B$23</f>
        <v>80000</v>
      </c>
      <c r="G33" s="18">
        <f>Supuestos!$B$26</f>
        <v>51000</v>
      </c>
      <c r="H33" s="18">
        <f t="shared" si="1"/>
        <v>351765.87563999998</v>
      </c>
      <c r="I33" s="18">
        <f t="shared" si="2"/>
        <v>-4557511.8654000005</v>
      </c>
      <c r="K33" s="17">
        <f>MIN(Supuestos!$B$33, Supuestos!$B$35-L32)</f>
        <v>3</v>
      </c>
      <c r="L33" s="17">
        <f t="shared" si="3"/>
        <v>87</v>
      </c>
      <c r="M33" s="18">
        <f>L33*Supuestos!$B$14</f>
        <v>1499880</v>
      </c>
      <c r="N33" s="18">
        <f>M33*Supuestos!$B$29</f>
        <v>51582.373079999998</v>
      </c>
      <c r="O33" s="18">
        <f>K33*Supuestos!$B$23</f>
        <v>240000</v>
      </c>
      <c r="P33" s="18">
        <f>Supuestos!$B$26</f>
        <v>51000</v>
      </c>
      <c r="Q33" s="18">
        <f t="shared" si="4"/>
        <v>1157297.62692</v>
      </c>
      <c r="R33" s="18">
        <f t="shared" si="5"/>
        <v>5285464.4038000014</v>
      </c>
      <c r="T33" s="17">
        <f>MIN(Supuestos!$B$34, Supuestos!$B$35-U32)</f>
        <v>0</v>
      </c>
      <c r="U33" s="17">
        <f t="shared" si="6"/>
        <v>100</v>
      </c>
      <c r="V33" s="18">
        <f>U33*Supuestos!$B$14</f>
        <v>1724000</v>
      </c>
      <c r="W33" s="18">
        <f>V33*Supuestos!$B$29</f>
        <v>59290.083999999995</v>
      </c>
      <c r="X33" s="18">
        <f>T33*Supuestos!$B$23</f>
        <v>0</v>
      </c>
      <c r="Y33" s="18">
        <f>Supuestos!$B$26</f>
        <v>51000</v>
      </c>
      <c r="Z33" s="18">
        <f t="shared" si="7"/>
        <v>1613709.916</v>
      </c>
      <c r="AA33" s="18">
        <f t="shared" si="8"/>
        <v>17746261.822559997</v>
      </c>
    </row>
    <row r="34" spans="1:27" x14ac:dyDescent="0.35">
      <c r="A34" s="16">
        <v>30</v>
      </c>
      <c r="B34" s="17">
        <f>MIN(Supuestos!$B$32, Supuestos!$B$35-C33)</f>
        <v>1</v>
      </c>
      <c r="C34" s="17">
        <f t="shared" si="0"/>
        <v>30</v>
      </c>
      <c r="D34" s="18">
        <f>C34*Supuestos!$B$14</f>
        <v>517200</v>
      </c>
      <c r="E34" s="18">
        <f>D34*Supuestos!$B$29</f>
        <v>17787.0252</v>
      </c>
      <c r="F34" s="18">
        <f>B34*Supuestos!$B$23</f>
        <v>80000</v>
      </c>
      <c r="G34" s="18">
        <f>Supuestos!$B$26</f>
        <v>51000</v>
      </c>
      <c r="H34" s="18">
        <f t="shared" si="1"/>
        <v>368412.97480000003</v>
      </c>
      <c r="I34" s="18">
        <f t="shared" si="2"/>
        <v>-4189098.8906000005</v>
      </c>
      <c r="K34" s="17">
        <f>MIN(Supuestos!$B$33, Supuestos!$B$35-L33)</f>
        <v>3</v>
      </c>
      <c r="L34" s="17">
        <f t="shared" si="3"/>
        <v>90</v>
      </c>
      <c r="M34" s="18">
        <f>L34*Supuestos!$B$14</f>
        <v>1551600</v>
      </c>
      <c r="N34" s="18">
        <f>M34*Supuestos!$B$29</f>
        <v>53361.075599999996</v>
      </c>
      <c r="O34" s="18">
        <f>K34*Supuestos!$B$23</f>
        <v>240000</v>
      </c>
      <c r="P34" s="18">
        <f>Supuestos!$B$26</f>
        <v>51000</v>
      </c>
      <c r="Q34" s="18">
        <f t="shared" si="4"/>
        <v>1207238.9243999999</v>
      </c>
      <c r="R34" s="18">
        <f t="shared" si="5"/>
        <v>6492703.3282000013</v>
      </c>
      <c r="T34" s="17">
        <f>MIN(Supuestos!$B$34, Supuestos!$B$35-U33)</f>
        <v>0</v>
      </c>
      <c r="U34" s="17">
        <f t="shared" si="6"/>
        <v>100</v>
      </c>
      <c r="V34" s="18">
        <f>U34*Supuestos!$B$14</f>
        <v>1724000</v>
      </c>
      <c r="W34" s="18">
        <f>V34*Supuestos!$B$29</f>
        <v>59290.083999999995</v>
      </c>
      <c r="X34" s="18">
        <f>T34*Supuestos!$B$23</f>
        <v>0</v>
      </c>
      <c r="Y34" s="18">
        <f>Supuestos!$B$26</f>
        <v>51000</v>
      </c>
      <c r="Z34" s="18">
        <f t="shared" si="7"/>
        <v>1613709.916</v>
      </c>
      <c r="AA34" s="18">
        <f t="shared" si="8"/>
        <v>19359971.738559999</v>
      </c>
    </row>
    <row r="35" spans="1:27" x14ac:dyDescent="0.35">
      <c r="A35" s="16">
        <v>31</v>
      </c>
      <c r="B35" s="17">
        <f>MIN(Supuestos!$B$32, Supuestos!$B$35-C34)</f>
        <v>1</v>
      </c>
      <c r="C35" s="17">
        <f t="shared" si="0"/>
        <v>31</v>
      </c>
      <c r="D35" s="18">
        <f>C35*Supuestos!$B$14</f>
        <v>534440</v>
      </c>
      <c r="E35" s="18">
        <f>D35*Supuestos!$B$29</f>
        <v>18379.926039999998</v>
      </c>
      <c r="F35" s="18">
        <f>B35*Supuestos!$B$23</f>
        <v>80000</v>
      </c>
      <c r="G35" s="18">
        <f>Supuestos!$B$26</f>
        <v>51000</v>
      </c>
      <c r="H35" s="18">
        <f t="shared" si="1"/>
        <v>385060.07396000001</v>
      </c>
      <c r="I35" s="18">
        <f t="shared" si="2"/>
        <v>-3804038.8166400003</v>
      </c>
      <c r="K35" s="17">
        <f>MIN(Supuestos!$B$33, Supuestos!$B$35-L34)</f>
        <v>3</v>
      </c>
      <c r="L35" s="17">
        <f t="shared" si="3"/>
        <v>93</v>
      </c>
      <c r="M35" s="18">
        <f>L35*Supuestos!$B$14</f>
        <v>1603320</v>
      </c>
      <c r="N35" s="18">
        <f>M35*Supuestos!$B$29</f>
        <v>55139.778119999995</v>
      </c>
      <c r="O35" s="18">
        <f>K35*Supuestos!$B$23</f>
        <v>240000</v>
      </c>
      <c r="P35" s="18">
        <f>Supuestos!$B$26</f>
        <v>51000</v>
      </c>
      <c r="Q35" s="18">
        <f t="shared" si="4"/>
        <v>1257180.2218800001</v>
      </c>
      <c r="R35" s="18">
        <f t="shared" si="5"/>
        <v>7749883.5500800014</v>
      </c>
      <c r="T35" s="17">
        <f>MIN(Supuestos!$B$34, Supuestos!$B$35-U34)</f>
        <v>0</v>
      </c>
      <c r="U35" s="17">
        <f t="shared" si="6"/>
        <v>100</v>
      </c>
      <c r="V35" s="18">
        <f>U35*Supuestos!$B$14</f>
        <v>1724000</v>
      </c>
      <c r="W35" s="18">
        <f>V35*Supuestos!$B$29</f>
        <v>59290.083999999995</v>
      </c>
      <c r="X35" s="18">
        <f>T35*Supuestos!$B$23</f>
        <v>0</v>
      </c>
      <c r="Y35" s="18">
        <f>Supuestos!$B$26</f>
        <v>51000</v>
      </c>
      <c r="Z35" s="18">
        <f t="shared" si="7"/>
        <v>1613709.916</v>
      </c>
      <c r="AA35" s="18">
        <f t="shared" si="8"/>
        <v>20973681.65456</v>
      </c>
    </row>
    <row r="36" spans="1:27" x14ac:dyDescent="0.35">
      <c r="A36" s="16">
        <v>32</v>
      </c>
      <c r="B36" s="17">
        <f>MIN(Supuestos!$B$32, Supuestos!$B$35-C35)</f>
        <v>1</v>
      </c>
      <c r="C36" s="17">
        <f t="shared" si="0"/>
        <v>32</v>
      </c>
      <c r="D36" s="18">
        <f>C36*Supuestos!$B$14</f>
        <v>551680</v>
      </c>
      <c r="E36" s="18">
        <f>D36*Supuestos!$B$29</f>
        <v>18972.826880000001</v>
      </c>
      <c r="F36" s="18">
        <f>B36*Supuestos!$B$23</f>
        <v>80000</v>
      </c>
      <c r="G36" s="18">
        <f>Supuestos!$B$26</f>
        <v>51000</v>
      </c>
      <c r="H36" s="18">
        <f t="shared" si="1"/>
        <v>401707.17312000005</v>
      </c>
      <c r="I36" s="18">
        <f t="shared" si="2"/>
        <v>-3402331.6435200004</v>
      </c>
      <c r="K36" s="17">
        <f>MIN(Supuestos!$B$33, Supuestos!$B$35-L35)</f>
        <v>3</v>
      </c>
      <c r="L36" s="17">
        <f t="shared" si="3"/>
        <v>96</v>
      </c>
      <c r="M36" s="18">
        <f>L36*Supuestos!$B$14</f>
        <v>1655040</v>
      </c>
      <c r="N36" s="18">
        <f>M36*Supuestos!$B$29</f>
        <v>56918.480639999994</v>
      </c>
      <c r="O36" s="18">
        <f>K36*Supuestos!$B$23</f>
        <v>240000</v>
      </c>
      <c r="P36" s="18">
        <f>Supuestos!$B$26</f>
        <v>51000</v>
      </c>
      <c r="Q36" s="18">
        <f t="shared" si="4"/>
        <v>1307121.51936</v>
      </c>
      <c r="R36" s="18">
        <f t="shared" si="5"/>
        <v>9057005.0694400016</v>
      </c>
      <c r="T36" s="17">
        <f>MIN(Supuestos!$B$34, Supuestos!$B$35-U35)</f>
        <v>0</v>
      </c>
      <c r="U36" s="17">
        <f t="shared" si="6"/>
        <v>100</v>
      </c>
      <c r="V36" s="18">
        <f>U36*Supuestos!$B$14</f>
        <v>1724000</v>
      </c>
      <c r="W36" s="18">
        <f>V36*Supuestos!$B$29</f>
        <v>59290.083999999995</v>
      </c>
      <c r="X36" s="18">
        <f>T36*Supuestos!$B$23</f>
        <v>0</v>
      </c>
      <c r="Y36" s="18">
        <f>Supuestos!$B$26</f>
        <v>51000</v>
      </c>
      <c r="Z36" s="18">
        <f t="shared" si="7"/>
        <v>1613709.916</v>
      </c>
      <c r="AA36" s="18">
        <f t="shared" si="8"/>
        <v>22587391.570560001</v>
      </c>
    </row>
    <row r="37" spans="1:27" x14ac:dyDescent="0.35">
      <c r="A37" s="16">
        <v>33</v>
      </c>
      <c r="B37" s="17">
        <f>MIN(Supuestos!$B$32, Supuestos!$B$35-C36)</f>
        <v>1</v>
      </c>
      <c r="C37" s="17">
        <f t="shared" ref="C37:C68" si="9">C36+B37</f>
        <v>33</v>
      </c>
      <c r="D37" s="18">
        <f>C37*Supuestos!$B$14</f>
        <v>568920</v>
      </c>
      <c r="E37" s="18">
        <f>D37*Supuestos!$B$29</f>
        <v>19565.727719999999</v>
      </c>
      <c r="F37" s="18">
        <f>B37*Supuestos!$B$23</f>
        <v>80000</v>
      </c>
      <c r="G37" s="18">
        <f>Supuestos!$B$26</f>
        <v>51000</v>
      </c>
      <c r="H37" s="18">
        <f t="shared" ref="H37:H68" si="10">D37-E37-F37-G37</f>
        <v>418354.27228000003</v>
      </c>
      <c r="I37" s="18">
        <f t="shared" ref="I37:I68" si="11">I36+H37</f>
        <v>-2983977.3712400002</v>
      </c>
      <c r="K37" s="17">
        <f>MIN(Supuestos!$B$33, Supuestos!$B$35-L36)</f>
        <v>3</v>
      </c>
      <c r="L37" s="17">
        <f t="shared" ref="L37:L68" si="12">L36+K37</f>
        <v>99</v>
      </c>
      <c r="M37" s="18">
        <f>L37*Supuestos!$B$14</f>
        <v>1706760</v>
      </c>
      <c r="N37" s="18">
        <f>M37*Supuestos!$B$29</f>
        <v>58697.183159999993</v>
      </c>
      <c r="O37" s="18">
        <f>K37*Supuestos!$B$23</f>
        <v>240000</v>
      </c>
      <c r="P37" s="18">
        <f>Supuestos!$B$26</f>
        <v>51000</v>
      </c>
      <c r="Q37" s="18">
        <f t="shared" ref="Q37:Q68" si="13">M37-N37-O37-P37</f>
        <v>1357062.81684</v>
      </c>
      <c r="R37" s="18">
        <f t="shared" ref="R37:R68" si="14">R36+Q37</f>
        <v>10414067.886280002</v>
      </c>
      <c r="T37" s="17">
        <f>MIN(Supuestos!$B$34, Supuestos!$B$35-U36)</f>
        <v>0</v>
      </c>
      <c r="U37" s="17">
        <f t="shared" ref="U37:U68" si="15">U36+T37</f>
        <v>100</v>
      </c>
      <c r="V37" s="18">
        <f>U37*Supuestos!$B$14</f>
        <v>1724000</v>
      </c>
      <c r="W37" s="18">
        <f>V37*Supuestos!$B$29</f>
        <v>59290.083999999995</v>
      </c>
      <c r="X37" s="18">
        <f>T37*Supuestos!$B$23</f>
        <v>0</v>
      </c>
      <c r="Y37" s="18">
        <f>Supuestos!$B$26</f>
        <v>51000</v>
      </c>
      <c r="Z37" s="18">
        <f t="shared" ref="Z37:Z68" si="16">V37-W37-X37-Y37</f>
        <v>1613709.916</v>
      </c>
      <c r="AA37" s="18">
        <f t="shared" ref="AA37:AA68" si="17">AA36+Z37</f>
        <v>24201101.486560002</v>
      </c>
    </row>
    <row r="38" spans="1:27" x14ac:dyDescent="0.35">
      <c r="A38" s="16">
        <v>34</v>
      </c>
      <c r="B38" s="17">
        <f>MIN(Supuestos!$B$32, Supuestos!$B$35-C37)</f>
        <v>1</v>
      </c>
      <c r="C38" s="17">
        <f t="shared" si="9"/>
        <v>34</v>
      </c>
      <c r="D38" s="18">
        <f>C38*Supuestos!$B$14</f>
        <v>586160</v>
      </c>
      <c r="E38" s="18">
        <f>D38*Supuestos!$B$29</f>
        <v>20158.628559999997</v>
      </c>
      <c r="F38" s="18">
        <f>B38*Supuestos!$B$23</f>
        <v>80000</v>
      </c>
      <c r="G38" s="18">
        <f>Supuestos!$B$26</f>
        <v>51000</v>
      </c>
      <c r="H38" s="18">
        <f t="shared" si="10"/>
        <v>435001.37144000002</v>
      </c>
      <c r="I38" s="18">
        <f t="shared" si="11"/>
        <v>-2548975.9998000003</v>
      </c>
      <c r="K38" s="17">
        <f>MIN(Supuestos!$B$33, Supuestos!$B$35-L37)</f>
        <v>1</v>
      </c>
      <c r="L38" s="17">
        <f t="shared" si="12"/>
        <v>100</v>
      </c>
      <c r="M38" s="18">
        <f>L38*Supuestos!$B$14</f>
        <v>1724000</v>
      </c>
      <c r="N38" s="18">
        <f>M38*Supuestos!$B$29</f>
        <v>59290.083999999995</v>
      </c>
      <c r="O38" s="18">
        <f>K38*Supuestos!$B$23</f>
        <v>80000</v>
      </c>
      <c r="P38" s="18">
        <f>Supuestos!$B$26</f>
        <v>51000</v>
      </c>
      <c r="Q38" s="18">
        <f t="shared" si="13"/>
        <v>1533709.916</v>
      </c>
      <c r="R38" s="18">
        <f t="shared" si="14"/>
        <v>11947777.802280001</v>
      </c>
      <c r="T38" s="17">
        <f>MIN(Supuestos!$B$34, Supuestos!$B$35-U37)</f>
        <v>0</v>
      </c>
      <c r="U38" s="17">
        <f t="shared" si="15"/>
        <v>100</v>
      </c>
      <c r="V38" s="18">
        <f>U38*Supuestos!$B$14</f>
        <v>1724000</v>
      </c>
      <c r="W38" s="18">
        <f>V38*Supuestos!$B$29</f>
        <v>59290.083999999995</v>
      </c>
      <c r="X38" s="18">
        <f>T38*Supuestos!$B$23</f>
        <v>0</v>
      </c>
      <c r="Y38" s="18">
        <f>Supuestos!$B$26</f>
        <v>51000</v>
      </c>
      <c r="Z38" s="18">
        <f t="shared" si="16"/>
        <v>1613709.916</v>
      </c>
      <c r="AA38" s="18">
        <f t="shared" si="17"/>
        <v>25814811.402560003</v>
      </c>
    </row>
    <row r="39" spans="1:27" x14ac:dyDescent="0.35">
      <c r="A39" s="16">
        <v>35</v>
      </c>
      <c r="B39" s="17">
        <f>MIN(Supuestos!$B$32, Supuestos!$B$35-C38)</f>
        <v>1</v>
      </c>
      <c r="C39" s="17">
        <f t="shared" si="9"/>
        <v>35</v>
      </c>
      <c r="D39" s="18">
        <f>C39*Supuestos!$B$14</f>
        <v>603400</v>
      </c>
      <c r="E39" s="18">
        <f>D39*Supuestos!$B$29</f>
        <v>20751.529399999999</v>
      </c>
      <c r="F39" s="18">
        <f>B39*Supuestos!$B$23</f>
        <v>80000</v>
      </c>
      <c r="G39" s="18">
        <f>Supuestos!$B$26</f>
        <v>51000</v>
      </c>
      <c r="H39" s="18">
        <f t="shared" si="10"/>
        <v>451648.4706</v>
      </c>
      <c r="I39" s="18">
        <f t="shared" si="11"/>
        <v>-2097327.5292000002</v>
      </c>
      <c r="K39" s="17">
        <f>MIN(Supuestos!$B$33, Supuestos!$B$35-L38)</f>
        <v>0</v>
      </c>
      <c r="L39" s="17">
        <f t="shared" si="12"/>
        <v>100</v>
      </c>
      <c r="M39" s="18">
        <f>L39*Supuestos!$B$14</f>
        <v>1724000</v>
      </c>
      <c r="N39" s="18">
        <f>M39*Supuestos!$B$29</f>
        <v>59290.083999999995</v>
      </c>
      <c r="O39" s="18">
        <f>K39*Supuestos!$B$23</f>
        <v>0</v>
      </c>
      <c r="P39" s="18">
        <f>Supuestos!$B$26</f>
        <v>51000</v>
      </c>
      <c r="Q39" s="18">
        <f t="shared" si="13"/>
        <v>1613709.916</v>
      </c>
      <c r="R39" s="18">
        <f t="shared" si="14"/>
        <v>13561487.718280001</v>
      </c>
      <c r="T39" s="17">
        <f>MIN(Supuestos!$B$34, Supuestos!$B$35-U38)</f>
        <v>0</v>
      </c>
      <c r="U39" s="17">
        <f t="shared" si="15"/>
        <v>100</v>
      </c>
      <c r="V39" s="18">
        <f>U39*Supuestos!$B$14</f>
        <v>1724000</v>
      </c>
      <c r="W39" s="18">
        <f>V39*Supuestos!$B$29</f>
        <v>59290.083999999995</v>
      </c>
      <c r="X39" s="18">
        <f>T39*Supuestos!$B$23</f>
        <v>0</v>
      </c>
      <c r="Y39" s="18">
        <f>Supuestos!$B$26</f>
        <v>51000</v>
      </c>
      <c r="Z39" s="18">
        <f t="shared" si="16"/>
        <v>1613709.916</v>
      </c>
      <c r="AA39" s="18">
        <f t="shared" si="17"/>
        <v>27428521.318560004</v>
      </c>
    </row>
    <row r="40" spans="1:27" x14ac:dyDescent="0.35">
      <c r="A40" s="16">
        <v>36</v>
      </c>
      <c r="B40" s="17">
        <f>MIN(Supuestos!$B$32, Supuestos!$B$35-C39)</f>
        <v>1</v>
      </c>
      <c r="C40" s="17">
        <f t="shared" si="9"/>
        <v>36</v>
      </c>
      <c r="D40" s="18">
        <f>C40*Supuestos!$B$14</f>
        <v>620640</v>
      </c>
      <c r="E40" s="18">
        <f>D40*Supuestos!$B$29</f>
        <v>21344.430239999998</v>
      </c>
      <c r="F40" s="18">
        <f>B40*Supuestos!$B$23</f>
        <v>80000</v>
      </c>
      <c r="G40" s="18">
        <f>Supuestos!$B$26</f>
        <v>51000</v>
      </c>
      <c r="H40" s="18">
        <f t="shared" si="10"/>
        <v>468295.56975999998</v>
      </c>
      <c r="I40" s="18">
        <f t="shared" si="11"/>
        <v>-1629031.9594400004</v>
      </c>
      <c r="K40" s="17">
        <f>MIN(Supuestos!$B$33, Supuestos!$B$35-L39)</f>
        <v>0</v>
      </c>
      <c r="L40" s="17">
        <f t="shared" si="12"/>
        <v>100</v>
      </c>
      <c r="M40" s="18">
        <f>L40*Supuestos!$B$14</f>
        <v>1724000</v>
      </c>
      <c r="N40" s="18">
        <f>M40*Supuestos!$B$29</f>
        <v>59290.083999999995</v>
      </c>
      <c r="O40" s="18">
        <f>K40*Supuestos!$B$23</f>
        <v>0</v>
      </c>
      <c r="P40" s="18">
        <f>Supuestos!$B$26</f>
        <v>51000</v>
      </c>
      <c r="Q40" s="18">
        <f t="shared" si="13"/>
        <v>1613709.916</v>
      </c>
      <c r="R40" s="18">
        <f t="shared" si="14"/>
        <v>15175197.63428</v>
      </c>
      <c r="T40" s="17">
        <f>MIN(Supuestos!$B$34, Supuestos!$B$35-U39)</f>
        <v>0</v>
      </c>
      <c r="U40" s="17">
        <f t="shared" si="15"/>
        <v>100</v>
      </c>
      <c r="V40" s="18">
        <f>U40*Supuestos!$B$14</f>
        <v>1724000</v>
      </c>
      <c r="W40" s="18">
        <f>V40*Supuestos!$B$29</f>
        <v>59290.083999999995</v>
      </c>
      <c r="X40" s="18">
        <f>T40*Supuestos!$B$23</f>
        <v>0</v>
      </c>
      <c r="Y40" s="18">
        <f>Supuestos!$B$26</f>
        <v>51000</v>
      </c>
      <c r="Z40" s="18">
        <f t="shared" si="16"/>
        <v>1613709.916</v>
      </c>
      <c r="AA40" s="18">
        <f t="shared" si="17"/>
        <v>29042231.234560005</v>
      </c>
    </row>
    <row r="41" spans="1:27" x14ac:dyDescent="0.35">
      <c r="A41" s="16">
        <v>37</v>
      </c>
      <c r="B41" s="17">
        <f>MIN(Supuestos!$B$32, Supuestos!$B$35-C40)</f>
        <v>1</v>
      </c>
      <c r="C41" s="17">
        <f t="shared" si="9"/>
        <v>37</v>
      </c>
      <c r="D41" s="18">
        <f>C41*Supuestos!$B$14</f>
        <v>637880</v>
      </c>
      <c r="E41" s="18">
        <f>D41*Supuestos!$B$29</f>
        <v>21937.33108</v>
      </c>
      <c r="F41" s="18">
        <f>B41*Supuestos!$B$23</f>
        <v>80000</v>
      </c>
      <c r="G41" s="18">
        <f>Supuestos!$B$26</f>
        <v>51000</v>
      </c>
      <c r="H41" s="18">
        <f t="shared" si="10"/>
        <v>484942.66891999997</v>
      </c>
      <c r="I41" s="18">
        <f t="shared" si="11"/>
        <v>-1144089.2905200003</v>
      </c>
      <c r="K41" s="17">
        <f>MIN(Supuestos!$B$33, Supuestos!$B$35-L40)</f>
        <v>0</v>
      </c>
      <c r="L41" s="17">
        <f t="shared" si="12"/>
        <v>100</v>
      </c>
      <c r="M41" s="18">
        <f>L41*Supuestos!$B$14</f>
        <v>1724000</v>
      </c>
      <c r="N41" s="18">
        <f>M41*Supuestos!$B$29</f>
        <v>59290.083999999995</v>
      </c>
      <c r="O41" s="18">
        <f>K41*Supuestos!$B$23</f>
        <v>0</v>
      </c>
      <c r="P41" s="18">
        <f>Supuestos!$B$26</f>
        <v>51000</v>
      </c>
      <c r="Q41" s="18">
        <f t="shared" si="13"/>
        <v>1613709.916</v>
      </c>
      <c r="R41" s="18">
        <f t="shared" si="14"/>
        <v>16788907.550280001</v>
      </c>
      <c r="T41" s="17">
        <f>MIN(Supuestos!$B$34, Supuestos!$B$35-U40)</f>
        <v>0</v>
      </c>
      <c r="U41" s="17">
        <f t="shared" si="15"/>
        <v>100</v>
      </c>
      <c r="V41" s="18">
        <f>U41*Supuestos!$B$14</f>
        <v>1724000</v>
      </c>
      <c r="W41" s="18">
        <f>V41*Supuestos!$B$29</f>
        <v>59290.083999999995</v>
      </c>
      <c r="X41" s="18">
        <f>T41*Supuestos!$B$23</f>
        <v>0</v>
      </c>
      <c r="Y41" s="18">
        <f>Supuestos!$B$26</f>
        <v>51000</v>
      </c>
      <c r="Z41" s="18">
        <f t="shared" si="16"/>
        <v>1613709.916</v>
      </c>
      <c r="AA41" s="18">
        <f t="shared" si="17"/>
        <v>30655941.150560006</v>
      </c>
    </row>
    <row r="42" spans="1:27" x14ac:dyDescent="0.35">
      <c r="A42" s="16">
        <v>38</v>
      </c>
      <c r="B42" s="17">
        <f>MIN(Supuestos!$B$32, Supuestos!$B$35-C41)</f>
        <v>1</v>
      </c>
      <c r="C42" s="17">
        <f t="shared" si="9"/>
        <v>38</v>
      </c>
      <c r="D42" s="18">
        <f>C42*Supuestos!$B$14</f>
        <v>655120</v>
      </c>
      <c r="E42" s="18">
        <f>D42*Supuestos!$B$29</f>
        <v>22530.231919999998</v>
      </c>
      <c r="F42" s="18">
        <f>B42*Supuestos!$B$23</f>
        <v>80000</v>
      </c>
      <c r="G42" s="18">
        <f>Supuestos!$B$26</f>
        <v>51000</v>
      </c>
      <c r="H42" s="18">
        <f t="shared" si="10"/>
        <v>501589.76807999995</v>
      </c>
      <c r="I42" s="18">
        <f t="shared" si="11"/>
        <v>-642499.52244000032</v>
      </c>
      <c r="K42" s="17">
        <f>MIN(Supuestos!$B$33, Supuestos!$B$35-L41)</f>
        <v>0</v>
      </c>
      <c r="L42" s="17">
        <f t="shared" si="12"/>
        <v>100</v>
      </c>
      <c r="M42" s="18">
        <f>L42*Supuestos!$B$14</f>
        <v>1724000</v>
      </c>
      <c r="N42" s="18">
        <f>M42*Supuestos!$B$29</f>
        <v>59290.083999999995</v>
      </c>
      <c r="O42" s="18">
        <f>K42*Supuestos!$B$23</f>
        <v>0</v>
      </c>
      <c r="P42" s="18">
        <f>Supuestos!$B$26</f>
        <v>51000</v>
      </c>
      <c r="Q42" s="18">
        <f t="shared" si="13"/>
        <v>1613709.916</v>
      </c>
      <c r="R42" s="18">
        <f t="shared" si="14"/>
        <v>18402617.466280002</v>
      </c>
      <c r="T42" s="17">
        <f>MIN(Supuestos!$B$34, Supuestos!$B$35-U41)</f>
        <v>0</v>
      </c>
      <c r="U42" s="17">
        <f t="shared" si="15"/>
        <v>100</v>
      </c>
      <c r="V42" s="18">
        <f>U42*Supuestos!$B$14</f>
        <v>1724000</v>
      </c>
      <c r="W42" s="18">
        <f>V42*Supuestos!$B$29</f>
        <v>59290.083999999995</v>
      </c>
      <c r="X42" s="18">
        <f>T42*Supuestos!$B$23</f>
        <v>0</v>
      </c>
      <c r="Y42" s="18">
        <f>Supuestos!$B$26</f>
        <v>51000</v>
      </c>
      <c r="Z42" s="18">
        <f t="shared" si="16"/>
        <v>1613709.916</v>
      </c>
      <c r="AA42" s="18">
        <f t="shared" si="17"/>
        <v>32269651.066560008</v>
      </c>
    </row>
    <row r="43" spans="1:27" x14ac:dyDescent="0.35">
      <c r="A43" s="16">
        <v>39</v>
      </c>
      <c r="B43" s="17">
        <f>MIN(Supuestos!$B$32, Supuestos!$B$35-C42)</f>
        <v>1</v>
      </c>
      <c r="C43" s="17">
        <f t="shared" si="9"/>
        <v>39</v>
      </c>
      <c r="D43" s="18">
        <f>C43*Supuestos!$B$14</f>
        <v>672360</v>
      </c>
      <c r="E43" s="18">
        <f>D43*Supuestos!$B$29</f>
        <v>23123.13276</v>
      </c>
      <c r="F43" s="18">
        <f>B43*Supuestos!$B$23</f>
        <v>80000</v>
      </c>
      <c r="G43" s="18">
        <f>Supuestos!$B$26</f>
        <v>51000</v>
      </c>
      <c r="H43" s="18">
        <f t="shared" si="10"/>
        <v>518236.86724000005</v>
      </c>
      <c r="I43" s="18">
        <f t="shared" si="11"/>
        <v>-124262.65520000027</v>
      </c>
      <c r="K43" s="17">
        <f>MIN(Supuestos!$B$33, Supuestos!$B$35-L42)</f>
        <v>0</v>
      </c>
      <c r="L43" s="17">
        <f t="shared" si="12"/>
        <v>100</v>
      </c>
      <c r="M43" s="18">
        <f>L43*Supuestos!$B$14</f>
        <v>1724000</v>
      </c>
      <c r="N43" s="18">
        <f>M43*Supuestos!$B$29</f>
        <v>59290.083999999995</v>
      </c>
      <c r="O43" s="18">
        <f>K43*Supuestos!$B$23</f>
        <v>0</v>
      </c>
      <c r="P43" s="18">
        <f>Supuestos!$B$26</f>
        <v>51000</v>
      </c>
      <c r="Q43" s="18">
        <f t="shared" si="13"/>
        <v>1613709.916</v>
      </c>
      <c r="R43" s="18">
        <f t="shared" si="14"/>
        <v>20016327.382280003</v>
      </c>
      <c r="T43" s="17">
        <f>MIN(Supuestos!$B$34, Supuestos!$B$35-U42)</f>
        <v>0</v>
      </c>
      <c r="U43" s="17">
        <f t="shared" si="15"/>
        <v>100</v>
      </c>
      <c r="V43" s="18">
        <f>U43*Supuestos!$B$14</f>
        <v>1724000</v>
      </c>
      <c r="W43" s="18">
        <f>V43*Supuestos!$B$29</f>
        <v>59290.083999999995</v>
      </c>
      <c r="X43" s="18">
        <f>T43*Supuestos!$B$23</f>
        <v>0</v>
      </c>
      <c r="Y43" s="18">
        <f>Supuestos!$B$26</f>
        <v>51000</v>
      </c>
      <c r="Z43" s="18">
        <f t="shared" si="16"/>
        <v>1613709.916</v>
      </c>
      <c r="AA43" s="18">
        <f t="shared" si="17"/>
        <v>33883360.982560009</v>
      </c>
    </row>
    <row r="44" spans="1:27" x14ac:dyDescent="0.35">
      <c r="A44" s="16">
        <v>40</v>
      </c>
      <c r="B44" s="17">
        <f>MIN(Supuestos!$B$32, Supuestos!$B$35-C43)</f>
        <v>1</v>
      </c>
      <c r="C44" s="17">
        <f t="shared" si="9"/>
        <v>40</v>
      </c>
      <c r="D44" s="18">
        <f>C44*Supuestos!$B$14</f>
        <v>689600</v>
      </c>
      <c r="E44" s="18">
        <f>D44*Supuestos!$B$29</f>
        <v>23716.033599999999</v>
      </c>
      <c r="F44" s="18">
        <f>B44*Supuestos!$B$23</f>
        <v>80000</v>
      </c>
      <c r="G44" s="18">
        <f>Supuestos!$B$26</f>
        <v>51000</v>
      </c>
      <c r="H44" s="18">
        <f t="shared" si="10"/>
        <v>534883.96640000003</v>
      </c>
      <c r="I44" s="18">
        <f t="shared" si="11"/>
        <v>410621.31119999976</v>
      </c>
      <c r="K44" s="17">
        <f>MIN(Supuestos!$B$33, Supuestos!$B$35-L43)</f>
        <v>0</v>
      </c>
      <c r="L44" s="17">
        <f t="shared" si="12"/>
        <v>100</v>
      </c>
      <c r="M44" s="18">
        <f>L44*Supuestos!$B$14</f>
        <v>1724000</v>
      </c>
      <c r="N44" s="18">
        <f>M44*Supuestos!$B$29</f>
        <v>59290.083999999995</v>
      </c>
      <c r="O44" s="18">
        <f>K44*Supuestos!$B$23</f>
        <v>0</v>
      </c>
      <c r="P44" s="18">
        <f>Supuestos!$B$26</f>
        <v>51000</v>
      </c>
      <c r="Q44" s="18">
        <f t="shared" si="13"/>
        <v>1613709.916</v>
      </c>
      <c r="R44" s="18">
        <f t="shared" si="14"/>
        <v>21630037.298280004</v>
      </c>
      <c r="T44" s="17">
        <f>MIN(Supuestos!$B$34, Supuestos!$B$35-U43)</f>
        <v>0</v>
      </c>
      <c r="U44" s="17">
        <f t="shared" si="15"/>
        <v>100</v>
      </c>
      <c r="V44" s="18">
        <f>U44*Supuestos!$B$14</f>
        <v>1724000</v>
      </c>
      <c r="W44" s="18">
        <f>V44*Supuestos!$B$29</f>
        <v>59290.083999999995</v>
      </c>
      <c r="X44" s="18">
        <f>T44*Supuestos!$B$23</f>
        <v>0</v>
      </c>
      <c r="Y44" s="18">
        <f>Supuestos!$B$26</f>
        <v>51000</v>
      </c>
      <c r="Z44" s="18">
        <f t="shared" si="16"/>
        <v>1613709.916</v>
      </c>
      <c r="AA44" s="18">
        <f t="shared" si="17"/>
        <v>35497070.89856001</v>
      </c>
    </row>
    <row r="45" spans="1:27" x14ac:dyDescent="0.35">
      <c r="A45" s="16">
        <v>41</v>
      </c>
      <c r="B45" s="17">
        <f>MIN(Supuestos!$B$32, Supuestos!$B$35-C44)</f>
        <v>1</v>
      </c>
      <c r="C45" s="17">
        <f t="shared" si="9"/>
        <v>41</v>
      </c>
      <c r="D45" s="18">
        <f>C45*Supuestos!$B$14</f>
        <v>706840</v>
      </c>
      <c r="E45" s="18">
        <f>D45*Supuestos!$B$29</f>
        <v>24308.934439999997</v>
      </c>
      <c r="F45" s="18">
        <f>B45*Supuestos!$B$23</f>
        <v>80000</v>
      </c>
      <c r="G45" s="18">
        <f>Supuestos!$B$26</f>
        <v>51000</v>
      </c>
      <c r="H45" s="18">
        <f t="shared" si="10"/>
        <v>551531.06556000002</v>
      </c>
      <c r="I45" s="18">
        <f t="shared" si="11"/>
        <v>962152.37675999978</v>
      </c>
      <c r="K45" s="17">
        <f>MIN(Supuestos!$B$33, Supuestos!$B$35-L44)</f>
        <v>0</v>
      </c>
      <c r="L45" s="17">
        <f t="shared" si="12"/>
        <v>100</v>
      </c>
      <c r="M45" s="18">
        <f>L45*Supuestos!$B$14</f>
        <v>1724000</v>
      </c>
      <c r="N45" s="18">
        <f>M45*Supuestos!$B$29</f>
        <v>59290.083999999995</v>
      </c>
      <c r="O45" s="18">
        <f>K45*Supuestos!$B$23</f>
        <v>0</v>
      </c>
      <c r="P45" s="18">
        <f>Supuestos!$B$26</f>
        <v>51000</v>
      </c>
      <c r="Q45" s="18">
        <f t="shared" si="13"/>
        <v>1613709.916</v>
      </c>
      <c r="R45" s="18">
        <f t="shared" si="14"/>
        <v>23243747.214280006</v>
      </c>
      <c r="T45" s="17">
        <f>MIN(Supuestos!$B$34, Supuestos!$B$35-U44)</f>
        <v>0</v>
      </c>
      <c r="U45" s="17">
        <f t="shared" si="15"/>
        <v>100</v>
      </c>
      <c r="V45" s="18">
        <f>U45*Supuestos!$B$14</f>
        <v>1724000</v>
      </c>
      <c r="W45" s="18">
        <f>V45*Supuestos!$B$29</f>
        <v>59290.083999999995</v>
      </c>
      <c r="X45" s="18">
        <f>T45*Supuestos!$B$23</f>
        <v>0</v>
      </c>
      <c r="Y45" s="18">
        <f>Supuestos!$B$26</f>
        <v>51000</v>
      </c>
      <c r="Z45" s="18">
        <f t="shared" si="16"/>
        <v>1613709.916</v>
      </c>
      <c r="AA45" s="18">
        <f t="shared" si="17"/>
        <v>37110780.814560011</v>
      </c>
    </row>
    <row r="46" spans="1:27" x14ac:dyDescent="0.35">
      <c r="A46" s="16">
        <v>42</v>
      </c>
      <c r="B46" s="17">
        <f>MIN(Supuestos!$B$32, Supuestos!$B$35-C45)</f>
        <v>1</v>
      </c>
      <c r="C46" s="17">
        <f t="shared" si="9"/>
        <v>42</v>
      </c>
      <c r="D46" s="18">
        <f>C46*Supuestos!$B$14</f>
        <v>724080</v>
      </c>
      <c r="E46" s="18">
        <f>D46*Supuestos!$B$29</f>
        <v>24901.835279999999</v>
      </c>
      <c r="F46" s="18">
        <f>B46*Supuestos!$B$23</f>
        <v>80000</v>
      </c>
      <c r="G46" s="18">
        <f>Supuestos!$B$26</f>
        <v>51000</v>
      </c>
      <c r="H46" s="18">
        <f t="shared" si="10"/>
        <v>568178.16472</v>
      </c>
      <c r="I46" s="18">
        <f t="shared" si="11"/>
        <v>1530330.5414799997</v>
      </c>
      <c r="K46" s="17">
        <f>MIN(Supuestos!$B$33, Supuestos!$B$35-L45)</f>
        <v>0</v>
      </c>
      <c r="L46" s="17">
        <f t="shared" si="12"/>
        <v>100</v>
      </c>
      <c r="M46" s="18">
        <f>L46*Supuestos!$B$14</f>
        <v>1724000</v>
      </c>
      <c r="N46" s="18">
        <f>M46*Supuestos!$B$29</f>
        <v>59290.083999999995</v>
      </c>
      <c r="O46" s="18">
        <f>K46*Supuestos!$B$23</f>
        <v>0</v>
      </c>
      <c r="P46" s="18">
        <f>Supuestos!$B$26</f>
        <v>51000</v>
      </c>
      <c r="Q46" s="18">
        <f t="shared" si="13"/>
        <v>1613709.916</v>
      </c>
      <c r="R46" s="18">
        <f t="shared" si="14"/>
        <v>24857457.130280007</v>
      </c>
      <c r="T46" s="17">
        <f>MIN(Supuestos!$B$34, Supuestos!$B$35-U45)</f>
        <v>0</v>
      </c>
      <c r="U46" s="17">
        <f t="shared" si="15"/>
        <v>100</v>
      </c>
      <c r="V46" s="18">
        <f>U46*Supuestos!$B$14</f>
        <v>1724000</v>
      </c>
      <c r="W46" s="18">
        <f>V46*Supuestos!$B$29</f>
        <v>59290.083999999995</v>
      </c>
      <c r="X46" s="18">
        <f>T46*Supuestos!$B$23</f>
        <v>0</v>
      </c>
      <c r="Y46" s="18">
        <f>Supuestos!$B$26</f>
        <v>51000</v>
      </c>
      <c r="Z46" s="18">
        <f t="shared" si="16"/>
        <v>1613709.916</v>
      </c>
      <c r="AA46" s="18">
        <f t="shared" si="17"/>
        <v>38724490.730560012</v>
      </c>
    </row>
    <row r="47" spans="1:27" x14ac:dyDescent="0.35">
      <c r="A47" s="16">
        <v>43</v>
      </c>
      <c r="B47" s="17">
        <f>MIN(Supuestos!$B$32, Supuestos!$B$35-C46)</f>
        <v>1</v>
      </c>
      <c r="C47" s="17">
        <f t="shared" si="9"/>
        <v>43</v>
      </c>
      <c r="D47" s="18">
        <f>C47*Supuestos!$B$14</f>
        <v>741320</v>
      </c>
      <c r="E47" s="18">
        <f>D47*Supuestos!$B$29</f>
        <v>25494.736119999998</v>
      </c>
      <c r="F47" s="18">
        <f>B47*Supuestos!$B$23</f>
        <v>80000</v>
      </c>
      <c r="G47" s="18">
        <f>Supuestos!$B$26</f>
        <v>51000</v>
      </c>
      <c r="H47" s="18">
        <f t="shared" si="10"/>
        <v>584825.26387999998</v>
      </c>
      <c r="I47" s="18">
        <f t="shared" si="11"/>
        <v>2115155.8053599996</v>
      </c>
      <c r="K47" s="17">
        <f>MIN(Supuestos!$B$33, Supuestos!$B$35-L46)</f>
        <v>0</v>
      </c>
      <c r="L47" s="17">
        <f t="shared" si="12"/>
        <v>100</v>
      </c>
      <c r="M47" s="18">
        <f>L47*Supuestos!$B$14</f>
        <v>1724000</v>
      </c>
      <c r="N47" s="18">
        <f>M47*Supuestos!$B$29</f>
        <v>59290.083999999995</v>
      </c>
      <c r="O47" s="18">
        <f>K47*Supuestos!$B$23</f>
        <v>0</v>
      </c>
      <c r="P47" s="18">
        <f>Supuestos!$B$26</f>
        <v>51000</v>
      </c>
      <c r="Q47" s="18">
        <f t="shared" si="13"/>
        <v>1613709.916</v>
      </c>
      <c r="R47" s="18">
        <f t="shared" si="14"/>
        <v>26471167.046280008</v>
      </c>
      <c r="T47" s="17">
        <f>MIN(Supuestos!$B$34, Supuestos!$B$35-U46)</f>
        <v>0</v>
      </c>
      <c r="U47" s="17">
        <f t="shared" si="15"/>
        <v>100</v>
      </c>
      <c r="V47" s="18">
        <f>U47*Supuestos!$B$14</f>
        <v>1724000</v>
      </c>
      <c r="W47" s="18">
        <f>V47*Supuestos!$B$29</f>
        <v>59290.083999999995</v>
      </c>
      <c r="X47" s="18">
        <f>T47*Supuestos!$B$23</f>
        <v>0</v>
      </c>
      <c r="Y47" s="18">
        <f>Supuestos!$B$26</f>
        <v>51000</v>
      </c>
      <c r="Z47" s="18">
        <f t="shared" si="16"/>
        <v>1613709.916</v>
      </c>
      <c r="AA47" s="18">
        <f t="shared" si="17"/>
        <v>40338200.646560013</v>
      </c>
    </row>
    <row r="48" spans="1:27" x14ac:dyDescent="0.35">
      <c r="A48" s="16">
        <v>44</v>
      </c>
      <c r="B48" s="17">
        <f>MIN(Supuestos!$B$32, Supuestos!$B$35-C47)</f>
        <v>1</v>
      </c>
      <c r="C48" s="17">
        <f t="shared" si="9"/>
        <v>44</v>
      </c>
      <c r="D48" s="18">
        <f>C48*Supuestos!$B$14</f>
        <v>758560</v>
      </c>
      <c r="E48" s="18">
        <f>D48*Supuestos!$B$29</f>
        <v>26087.63696</v>
      </c>
      <c r="F48" s="18">
        <f>B48*Supuestos!$B$23</f>
        <v>80000</v>
      </c>
      <c r="G48" s="18">
        <f>Supuestos!$B$26</f>
        <v>51000</v>
      </c>
      <c r="H48" s="18">
        <f t="shared" si="10"/>
        <v>601472.36303999997</v>
      </c>
      <c r="I48" s="18">
        <f t="shared" si="11"/>
        <v>2716628.1683999998</v>
      </c>
      <c r="K48" s="17">
        <f>MIN(Supuestos!$B$33, Supuestos!$B$35-L47)</f>
        <v>0</v>
      </c>
      <c r="L48" s="17">
        <f t="shared" si="12"/>
        <v>100</v>
      </c>
      <c r="M48" s="18">
        <f>L48*Supuestos!$B$14</f>
        <v>1724000</v>
      </c>
      <c r="N48" s="18">
        <f>M48*Supuestos!$B$29</f>
        <v>59290.083999999995</v>
      </c>
      <c r="O48" s="18">
        <f>K48*Supuestos!$B$23</f>
        <v>0</v>
      </c>
      <c r="P48" s="18">
        <f>Supuestos!$B$26</f>
        <v>51000</v>
      </c>
      <c r="Q48" s="18">
        <f t="shared" si="13"/>
        <v>1613709.916</v>
      </c>
      <c r="R48" s="18">
        <f t="shared" si="14"/>
        <v>28084876.962280009</v>
      </c>
      <c r="T48" s="17">
        <f>MIN(Supuestos!$B$34, Supuestos!$B$35-U47)</f>
        <v>0</v>
      </c>
      <c r="U48" s="17">
        <f t="shared" si="15"/>
        <v>100</v>
      </c>
      <c r="V48" s="18">
        <f>U48*Supuestos!$B$14</f>
        <v>1724000</v>
      </c>
      <c r="W48" s="18">
        <f>V48*Supuestos!$B$29</f>
        <v>59290.083999999995</v>
      </c>
      <c r="X48" s="18">
        <f>T48*Supuestos!$B$23</f>
        <v>0</v>
      </c>
      <c r="Y48" s="18">
        <f>Supuestos!$B$26</f>
        <v>51000</v>
      </c>
      <c r="Z48" s="18">
        <f t="shared" si="16"/>
        <v>1613709.916</v>
      </c>
      <c r="AA48" s="18">
        <f t="shared" si="17"/>
        <v>41951910.562560014</v>
      </c>
    </row>
    <row r="49" spans="1:27" x14ac:dyDescent="0.35">
      <c r="A49" s="16">
        <v>45</v>
      </c>
      <c r="B49" s="17">
        <f>MIN(Supuestos!$B$32, Supuestos!$B$35-C48)</f>
        <v>1</v>
      </c>
      <c r="C49" s="17">
        <f t="shared" si="9"/>
        <v>45</v>
      </c>
      <c r="D49" s="18">
        <f>C49*Supuestos!$B$14</f>
        <v>775800</v>
      </c>
      <c r="E49" s="18">
        <f>D49*Supuestos!$B$29</f>
        <v>26680.537799999998</v>
      </c>
      <c r="F49" s="18">
        <f>B49*Supuestos!$B$23</f>
        <v>80000</v>
      </c>
      <c r="G49" s="18">
        <f>Supuestos!$B$26</f>
        <v>51000</v>
      </c>
      <c r="H49" s="18">
        <f t="shared" si="10"/>
        <v>618119.46219999995</v>
      </c>
      <c r="I49" s="18">
        <f t="shared" si="11"/>
        <v>3334747.6305999998</v>
      </c>
      <c r="K49" s="17">
        <f>MIN(Supuestos!$B$33, Supuestos!$B$35-L48)</f>
        <v>0</v>
      </c>
      <c r="L49" s="17">
        <f t="shared" si="12"/>
        <v>100</v>
      </c>
      <c r="M49" s="18">
        <f>L49*Supuestos!$B$14</f>
        <v>1724000</v>
      </c>
      <c r="N49" s="18">
        <f>M49*Supuestos!$B$29</f>
        <v>59290.083999999995</v>
      </c>
      <c r="O49" s="18">
        <f>K49*Supuestos!$B$23</f>
        <v>0</v>
      </c>
      <c r="P49" s="18">
        <f>Supuestos!$B$26</f>
        <v>51000</v>
      </c>
      <c r="Q49" s="18">
        <f t="shared" si="13"/>
        <v>1613709.916</v>
      </c>
      <c r="R49" s="18">
        <f t="shared" si="14"/>
        <v>29698586.87828001</v>
      </c>
      <c r="T49" s="17">
        <f>MIN(Supuestos!$B$34, Supuestos!$B$35-U48)</f>
        <v>0</v>
      </c>
      <c r="U49" s="17">
        <f t="shared" si="15"/>
        <v>100</v>
      </c>
      <c r="V49" s="18">
        <f>U49*Supuestos!$B$14</f>
        <v>1724000</v>
      </c>
      <c r="W49" s="18">
        <f>V49*Supuestos!$B$29</f>
        <v>59290.083999999995</v>
      </c>
      <c r="X49" s="18">
        <f>T49*Supuestos!$B$23</f>
        <v>0</v>
      </c>
      <c r="Y49" s="18">
        <f>Supuestos!$B$26</f>
        <v>51000</v>
      </c>
      <c r="Z49" s="18">
        <f t="shared" si="16"/>
        <v>1613709.916</v>
      </c>
      <c r="AA49" s="18">
        <f t="shared" si="17"/>
        <v>43565620.478560016</v>
      </c>
    </row>
    <row r="50" spans="1:27" x14ac:dyDescent="0.35">
      <c r="A50" s="16">
        <v>46</v>
      </c>
      <c r="B50" s="17">
        <f>MIN(Supuestos!$B$32, Supuestos!$B$35-C49)</f>
        <v>1</v>
      </c>
      <c r="C50" s="17">
        <f t="shared" si="9"/>
        <v>46</v>
      </c>
      <c r="D50" s="18">
        <f>C50*Supuestos!$B$14</f>
        <v>793040</v>
      </c>
      <c r="E50" s="18">
        <f>D50*Supuestos!$B$29</f>
        <v>27273.438639999997</v>
      </c>
      <c r="F50" s="18">
        <f>B50*Supuestos!$B$23</f>
        <v>80000</v>
      </c>
      <c r="G50" s="18">
        <f>Supuestos!$B$26</f>
        <v>51000</v>
      </c>
      <c r="H50" s="18">
        <f t="shared" si="10"/>
        <v>634766.56136000005</v>
      </c>
      <c r="I50" s="18">
        <f t="shared" si="11"/>
        <v>3969514.19196</v>
      </c>
      <c r="K50" s="17">
        <f>MIN(Supuestos!$B$33, Supuestos!$B$35-L49)</f>
        <v>0</v>
      </c>
      <c r="L50" s="17">
        <f t="shared" si="12"/>
        <v>100</v>
      </c>
      <c r="M50" s="18">
        <f>L50*Supuestos!$B$14</f>
        <v>1724000</v>
      </c>
      <c r="N50" s="18">
        <f>M50*Supuestos!$B$29</f>
        <v>59290.083999999995</v>
      </c>
      <c r="O50" s="18">
        <f>K50*Supuestos!$B$23</f>
        <v>0</v>
      </c>
      <c r="P50" s="18">
        <f>Supuestos!$B$26</f>
        <v>51000</v>
      </c>
      <c r="Q50" s="18">
        <f t="shared" si="13"/>
        <v>1613709.916</v>
      </c>
      <c r="R50" s="18">
        <f t="shared" si="14"/>
        <v>31312296.794280011</v>
      </c>
      <c r="T50" s="17">
        <f>MIN(Supuestos!$B$34, Supuestos!$B$35-U49)</f>
        <v>0</v>
      </c>
      <c r="U50" s="17">
        <f t="shared" si="15"/>
        <v>100</v>
      </c>
      <c r="V50" s="18">
        <f>U50*Supuestos!$B$14</f>
        <v>1724000</v>
      </c>
      <c r="W50" s="18">
        <f>V50*Supuestos!$B$29</f>
        <v>59290.083999999995</v>
      </c>
      <c r="X50" s="18">
        <f>T50*Supuestos!$B$23</f>
        <v>0</v>
      </c>
      <c r="Y50" s="18">
        <f>Supuestos!$B$26</f>
        <v>51000</v>
      </c>
      <c r="Z50" s="18">
        <f t="shared" si="16"/>
        <v>1613709.916</v>
      </c>
      <c r="AA50" s="18">
        <f t="shared" si="17"/>
        <v>45179330.394560017</v>
      </c>
    </row>
    <row r="51" spans="1:27" x14ac:dyDescent="0.35">
      <c r="A51" s="16">
        <v>47</v>
      </c>
      <c r="B51" s="17">
        <f>MIN(Supuestos!$B$32, Supuestos!$B$35-C50)</f>
        <v>1</v>
      </c>
      <c r="C51" s="17">
        <f t="shared" si="9"/>
        <v>47</v>
      </c>
      <c r="D51" s="18">
        <f>C51*Supuestos!$B$14</f>
        <v>810280</v>
      </c>
      <c r="E51" s="18">
        <f>D51*Supuestos!$B$29</f>
        <v>27866.339479999999</v>
      </c>
      <c r="F51" s="18">
        <f>B51*Supuestos!$B$23</f>
        <v>80000</v>
      </c>
      <c r="G51" s="18">
        <f>Supuestos!$B$26</f>
        <v>51000</v>
      </c>
      <c r="H51" s="18">
        <f t="shared" si="10"/>
        <v>651413.66052000003</v>
      </c>
      <c r="I51" s="18">
        <f t="shared" si="11"/>
        <v>4620927.8524799999</v>
      </c>
      <c r="K51" s="17">
        <f>MIN(Supuestos!$B$33, Supuestos!$B$35-L50)</f>
        <v>0</v>
      </c>
      <c r="L51" s="17">
        <f t="shared" si="12"/>
        <v>100</v>
      </c>
      <c r="M51" s="18">
        <f>L51*Supuestos!$B$14</f>
        <v>1724000</v>
      </c>
      <c r="N51" s="18">
        <f>M51*Supuestos!$B$29</f>
        <v>59290.083999999995</v>
      </c>
      <c r="O51" s="18">
        <f>K51*Supuestos!$B$23</f>
        <v>0</v>
      </c>
      <c r="P51" s="18">
        <f>Supuestos!$B$26</f>
        <v>51000</v>
      </c>
      <c r="Q51" s="18">
        <f t="shared" si="13"/>
        <v>1613709.916</v>
      </c>
      <c r="R51" s="18">
        <f t="shared" si="14"/>
        <v>32926006.710280012</v>
      </c>
      <c r="T51" s="17">
        <f>MIN(Supuestos!$B$34, Supuestos!$B$35-U50)</f>
        <v>0</v>
      </c>
      <c r="U51" s="17">
        <f t="shared" si="15"/>
        <v>100</v>
      </c>
      <c r="V51" s="18">
        <f>U51*Supuestos!$B$14</f>
        <v>1724000</v>
      </c>
      <c r="W51" s="18">
        <f>V51*Supuestos!$B$29</f>
        <v>59290.083999999995</v>
      </c>
      <c r="X51" s="18">
        <f>T51*Supuestos!$B$23</f>
        <v>0</v>
      </c>
      <c r="Y51" s="18">
        <f>Supuestos!$B$26</f>
        <v>51000</v>
      </c>
      <c r="Z51" s="18">
        <f t="shared" si="16"/>
        <v>1613709.916</v>
      </c>
      <c r="AA51" s="18">
        <f t="shared" si="17"/>
        <v>46793040.310560018</v>
      </c>
    </row>
    <row r="52" spans="1:27" x14ac:dyDescent="0.35">
      <c r="A52" s="16">
        <v>48</v>
      </c>
      <c r="B52" s="17">
        <f>MIN(Supuestos!$B$32, Supuestos!$B$35-C51)</f>
        <v>1</v>
      </c>
      <c r="C52" s="17">
        <f t="shared" si="9"/>
        <v>48</v>
      </c>
      <c r="D52" s="18">
        <f>C52*Supuestos!$B$14</f>
        <v>827520</v>
      </c>
      <c r="E52" s="18">
        <f>D52*Supuestos!$B$29</f>
        <v>28459.240319999997</v>
      </c>
      <c r="F52" s="18">
        <f>B52*Supuestos!$B$23</f>
        <v>80000</v>
      </c>
      <c r="G52" s="18">
        <f>Supuestos!$B$26</f>
        <v>51000</v>
      </c>
      <c r="H52" s="18">
        <f t="shared" si="10"/>
        <v>668060.75968000002</v>
      </c>
      <c r="I52" s="18">
        <f t="shared" si="11"/>
        <v>5288988.61216</v>
      </c>
      <c r="K52" s="17">
        <f>MIN(Supuestos!$B$33, Supuestos!$B$35-L51)</f>
        <v>0</v>
      </c>
      <c r="L52" s="17">
        <f t="shared" si="12"/>
        <v>100</v>
      </c>
      <c r="M52" s="18">
        <f>L52*Supuestos!$B$14</f>
        <v>1724000</v>
      </c>
      <c r="N52" s="18">
        <f>M52*Supuestos!$B$29</f>
        <v>59290.083999999995</v>
      </c>
      <c r="O52" s="18">
        <f>K52*Supuestos!$B$23</f>
        <v>0</v>
      </c>
      <c r="P52" s="18">
        <f>Supuestos!$B$26</f>
        <v>51000</v>
      </c>
      <c r="Q52" s="18">
        <f t="shared" si="13"/>
        <v>1613709.916</v>
      </c>
      <c r="R52" s="18">
        <f t="shared" si="14"/>
        <v>34539716.62628001</v>
      </c>
      <c r="T52" s="17">
        <f>MIN(Supuestos!$B$34, Supuestos!$B$35-U51)</f>
        <v>0</v>
      </c>
      <c r="U52" s="17">
        <f t="shared" si="15"/>
        <v>100</v>
      </c>
      <c r="V52" s="18">
        <f>U52*Supuestos!$B$14</f>
        <v>1724000</v>
      </c>
      <c r="W52" s="18">
        <f>V52*Supuestos!$B$29</f>
        <v>59290.083999999995</v>
      </c>
      <c r="X52" s="18">
        <f>T52*Supuestos!$B$23</f>
        <v>0</v>
      </c>
      <c r="Y52" s="18">
        <f>Supuestos!$B$26</f>
        <v>51000</v>
      </c>
      <c r="Z52" s="18">
        <f t="shared" si="16"/>
        <v>1613709.916</v>
      </c>
      <c r="AA52" s="18">
        <f t="shared" si="17"/>
        <v>48406750.226560019</v>
      </c>
    </row>
    <row r="53" spans="1:27" x14ac:dyDescent="0.35">
      <c r="A53" s="16">
        <v>49</v>
      </c>
      <c r="B53" s="17">
        <f>MIN(Supuestos!$B$32, Supuestos!$B$35-C52)</f>
        <v>1</v>
      </c>
      <c r="C53" s="17">
        <f t="shared" si="9"/>
        <v>49</v>
      </c>
      <c r="D53" s="18">
        <f>C53*Supuestos!$B$14</f>
        <v>844760</v>
      </c>
      <c r="E53" s="18">
        <f>D53*Supuestos!$B$29</f>
        <v>29052.141159999999</v>
      </c>
      <c r="F53" s="18">
        <f>B53*Supuestos!$B$23</f>
        <v>80000</v>
      </c>
      <c r="G53" s="18">
        <f>Supuestos!$B$26</f>
        <v>51000</v>
      </c>
      <c r="H53" s="18">
        <f t="shared" si="10"/>
        <v>684707.85884</v>
      </c>
      <c r="I53" s="18">
        <f t="shared" si="11"/>
        <v>5973696.4709999999</v>
      </c>
      <c r="K53" s="17">
        <f>MIN(Supuestos!$B$33, Supuestos!$B$35-L52)</f>
        <v>0</v>
      </c>
      <c r="L53" s="17">
        <f t="shared" si="12"/>
        <v>100</v>
      </c>
      <c r="M53" s="18">
        <f>L53*Supuestos!$B$14</f>
        <v>1724000</v>
      </c>
      <c r="N53" s="18">
        <f>M53*Supuestos!$B$29</f>
        <v>59290.083999999995</v>
      </c>
      <c r="O53" s="18">
        <f>K53*Supuestos!$B$23</f>
        <v>0</v>
      </c>
      <c r="P53" s="18">
        <f>Supuestos!$B$26</f>
        <v>51000</v>
      </c>
      <c r="Q53" s="18">
        <f t="shared" si="13"/>
        <v>1613709.916</v>
      </c>
      <c r="R53" s="18">
        <f t="shared" si="14"/>
        <v>36153426.542280011</v>
      </c>
      <c r="T53" s="17">
        <f>MIN(Supuestos!$B$34, Supuestos!$B$35-U52)</f>
        <v>0</v>
      </c>
      <c r="U53" s="17">
        <f t="shared" si="15"/>
        <v>100</v>
      </c>
      <c r="V53" s="18">
        <f>U53*Supuestos!$B$14</f>
        <v>1724000</v>
      </c>
      <c r="W53" s="18">
        <f>V53*Supuestos!$B$29</f>
        <v>59290.083999999995</v>
      </c>
      <c r="X53" s="18">
        <f>T53*Supuestos!$B$23</f>
        <v>0</v>
      </c>
      <c r="Y53" s="18">
        <f>Supuestos!$B$26</f>
        <v>51000</v>
      </c>
      <c r="Z53" s="18">
        <f t="shared" si="16"/>
        <v>1613709.916</v>
      </c>
      <c r="AA53" s="18">
        <f t="shared" si="17"/>
        <v>50020460.14256002</v>
      </c>
    </row>
    <row r="54" spans="1:27" x14ac:dyDescent="0.35">
      <c r="A54" s="16">
        <v>50</v>
      </c>
      <c r="B54" s="17">
        <f>MIN(Supuestos!$B$32, Supuestos!$B$35-C53)</f>
        <v>1</v>
      </c>
      <c r="C54" s="17">
        <f t="shared" si="9"/>
        <v>50</v>
      </c>
      <c r="D54" s="18">
        <f>C54*Supuestos!$B$14</f>
        <v>862000</v>
      </c>
      <c r="E54" s="18">
        <f>D54*Supuestos!$B$29</f>
        <v>29645.041999999998</v>
      </c>
      <c r="F54" s="18">
        <f>B54*Supuestos!$B$23</f>
        <v>80000</v>
      </c>
      <c r="G54" s="18">
        <f>Supuestos!$B$26</f>
        <v>51000</v>
      </c>
      <c r="H54" s="18">
        <f t="shared" si="10"/>
        <v>701354.95799999998</v>
      </c>
      <c r="I54" s="18">
        <f t="shared" si="11"/>
        <v>6675051.4289999995</v>
      </c>
      <c r="K54" s="17">
        <f>MIN(Supuestos!$B$33, Supuestos!$B$35-L53)</f>
        <v>0</v>
      </c>
      <c r="L54" s="17">
        <f t="shared" si="12"/>
        <v>100</v>
      </c>
      <c r="M54" s="18">
        <f>L54*Supuestos!$B$14</f>
        <v>1724000</v>
      </c>
      <c r="N54" s="18">
        <f>M54*Supuestos!$B$29</f>
        <v>59290.083999999995</v>
      </c>
      <c r="O54" s="18">
        <f>K54*Supuestos!$B$23</f>
        <v>0</v>
      </c>
      <c r="P54" s="18">
        <f>Supuestos!$B$26</f>
        <v>51000</v>
      </c>
      <c r="Q54" s="18">
        <f t="shared" si="13"/>
        <v>1613709.916</v>
      </c>
      <c r="R54" s="18">
        <f t="shared" si="14"/>
        <v>37767136.458280012</v>
      </c>
      <c r="T54" s="17">
        <f>MIN(Supuestos!$B$34, Supuestos!$B$35-U53)</f>
        <v>0</v>
      </c>
      <c r="U54" s="17">
        <f t="shared" si="15"/>
        <v>100</v>
      </c>
      <c r="V54" s="18">
        <f>U54*Supuestos!$B$14</f>
        <v>1724000</v>
      </c>
      <c r="W54" s="18">
        <f>V54*Supuestos!$B$29</f>
        <v>59290.083999999995</v>
      </c>
      <c r="X54" s="18">
        <f>T54*Supuestos!$B$23</f>
        <v>0</v>
      </c>
      <c r="Y54" s="18">
        <f>Supuestos!$B$26</f>
        <v>51000</v>
      </c>
      <c r="Z54" s="18">
        <f t="shared" si="16"/>
        <v>1613709.916</v>
      </c>
      <c r="AA54" s="18">
        <f t="shared" si="17"/>
        <v>51634170.058560021</v>
      </c>
    </row>
    <row r="55" spans="1:27" x14ac:dyDescent="0.35">
      <c r="A55" s="16">
        <v>51</v>
      </c>
      <c r="B55" s="17">
        <f>MIN(Supuestos!$B$32, Supuestos!$B$35-C54)</f>
        <v>1</v>
      </c>
      <c r="C55" s="17">
        <f t="shared" si="9"/>
        <v>51</v>
      </c>
      <c r="D55" s="18">
        <f>C55*Supuestos!$B$14</f>
        <v>879240</v>
      </c>
      <c r="E55" s="18">
        <f>D55*Supuestos!$B$29</f>
        <v>30237.94284</v>
      </c>
      <c r="F55" s="18">
        <f>B55*Supuestos!$B$23</f>
        <v>80000</v>
      </c>
      <c r="G55" s="18">
        <f>Supuestos!$B$26</f>
        <v>51000</v>
      </c>
      <c r="H55" s="18">
        <f t="shared" si="10"/>
        <v>718002.05715999997</v>
      </c>
      <c r="I55" s="18">
        <f t="shared" si="11"/>
        <v>7393053.4861599999</v>
      </c>
      <c r="K55" s="17">
        <f>MIN(Supuestos!$B$33, Supuestos!$B$35-L54)</f>
        <v>0</v>
      </c>
      <c r="L55" s="17">
        <f t="shared" si="12"/>
        <v>100</v>
      </c>
      <c r="M55" s="18">
        <f>L55*Supuestos!$B$14</f>
        <v>1724000</v>
      </c>
      <c r="N55" s="18">
        <f>M55*Supuestos!$B$29</f>
        <v>59290.083999999995</v>
      </c>
      <c r="O55" s="18">
        <f>K55*Supuestos!$B$23</f>
        <v>0</v>
      </c>
      <c r="P55" s="18">
        <f>Supuestos!$B$26</f>
        <v>51000</v>
      </c>
      <c r="Q55" s="18">
        <f t="shared" si="13"/>
        <v>1613709.916</v>
      </c>
      <c r="R55" s="18">
        <f t="shared" si="14"/>
        <v>39380846.374280013</v>
      </c>
      <c r="T55" s="17">
        <f>MIN(Supuestos!$B$34, Supuestos!$B$35-U54)</f>
        <v>0</v>
      </c>
      <c r="U55" s="17">
        <f t="shared" si="15"/>
        <v>100</v>
      </c>
      <c r="V55" s="18">
        <f>U55*Supuestos!$B$14</f>
        <v>1724000</v>
      </c>
      <c r="W55" s="18">
        <f>V55*Supuestos!$B$29</f>
        <v>59290.083999999995</v>
      </c>
      <c r="X55" s="18">
        <f>T55*Supuestos!$B$23</f>
        <v>0</v>
      </c>
      <c r="Y55" s="18">
        <f>Supuestos!$B$26</f>
        <v>51000</v>
      </c>
      <c r="Z55" s="18">
        <f t="shared" si="16"/>
        <v>1613709.916</v>
      </c>
      <c r="AA55" s="18">
        <f t="shared" si="17"/>
        <v>53247879.974560022</v>
      </c>
    </row>
    <row r="56" spans="1:27" x14ac:dyDescent="0.35">
      <c r="A56" s="16">
        <v>52</v>
      </c>
      <c r="B56" s="17">
        <f>MIN(Supuestos!$B$32, Supuestos!$B$35-C55)</f>
        <v>1</v>
      </c>
      <c r="C56" s="17">
        <f t="shared" si="9"/>
        <v>52</v>
      </c>
      <c r="D56" s="18">
        <f>C56*Supuestos!$B$14</f>
        <v>896480</v>
      </c>
      <c r="E56" s="18">
        <f>D56*Supuestos!$B$29</f>
        <v>30830.843679999998</v>
      </c>
      <c r="F56" s="18">
        <f>B56*Supuestos!$B$23</f>
        <v>80000</v>
      </c>
      <c r="G56" s="18">
        <f>Supuestos!$B$26</f>
        <v>51000</v>
      </c>
      <c r="H56" s="18">
        <f t="shared" si="10"/>
        <v>734649.15631999995</v>
      </c>
      <c r="I56" s="18">
        <f t="shared" si="11"/>
        <v>8127702.6424799999</v>
      </c>
      <c r="K56" s="17">
        <f>MIN(Supuestos!$B$33, Supuestos!$B$35-L55)</f>
        <v>0</v>
      </c>
      <c r="L56" s="17">
        <f t="shared" si="12"/>
        <v>100</v>
      </c>
      <c r="M56" s="18">
        <f>L56*Supuestos!$B$14</f>
        <v>1724000</v>
      </c>
      <c r="N56" s="18">
        <f>M56*Supuestos!$B$29</f>
        <v>59290.083999999995</v>
      </c>
      <c r="O56" s="18">
        <f>K56*Supuestos!$B$23</f>
        <v>0</v>
      </c>
      <c r="P56" s="18">
        <f>Supuestos!$B$26</f>
        <v>51000</v>
      </c>
      <c r="Q56" s="18">
        <f t="shared" si="13"/>
        <v>1613709.916</v>
      </c>
      <c r="R56" s="18">
        <f t="shared" si="14"/>
        <v>40994556.290280014</v>
      </c>
      <c r="T56" s="17">
        <f>MIN(Supuestos!$B$34, Supuestos!$B$35-U55)</f>
        <v>0</v>
      </c>
      <c r="U56" s="17">
        <f t="shared" si="15"/>
        <v>100</v>
      </c>
      <c r="V56" s="18">
        <f>U56*Supuestos!$B$14</f>
        <v>1724000</v>
      </c>
      <c r="W56" s="18">
        <f>V56*Supuestos!$B$29</f>
        <v>59290.083999999995</v>
      </c>
      <c r="X56" s="18">
        <f>T56*Supuestos!$B$23</f>
        <v>0</v>
      </c>
      <c r="Y56" s="18">
        <f>Supuestos!$B$26</f>
        <v>51000</v>
      </c>
      <c r="Z56" s="18">
        <f t="shared" si="16"/>
        <v>1613709.916</v>
      </c>
      <c r="AA56" s="18">
        <f t="shared" si="17"/>
        <v>54861589.890560023</v>
      </c>
    </row>
    <row r="57" spans="1:27" x14ac:dyDescent="0.35">
      <c r="A57" s="16">
        <v>53</v>
      </c>
      <c r="B57" s="17">
        <f>MIN(Supuestos!$B$32, Supuestos!$B$35-C56)</f>
        <v>1</v>
      </c>
      <c r="C57" s="17">
        <f t="shared" si="9"/>
        <v>53</v>
      </c>
      <c r="D57" s="18">
        <f>C57*Supuestos!$B$14</f>
        <v>913720</v>
      </c>
      <c r="E57" s="18">
        <f>D57*Supuestos!$B$29</f>
        <v>31423.744519999997</v>
      </c>
      <c r="F57" s="18">
        <f>B57*Supuestos!$B$23</f>
        <v>80000</v>
      </c>
      <c r="G57" s="18">
        <f>Supuestos!$B$26</f>
        <v>51000</v>
      </c>
      <c r="H57" s="18">
        <f t="shared" si="10"/>
        <v>751296.25548000005</v>
      </c>
      <c r="I57" s="18">
        <f t="shared" si="11"/>
        <v>8878998.8979599997</v>
      </c>
      <c r="K57" s="17">
        <f>MIN(Supuestos!$B$33, Supuestos!$B$35-L56)</f>
        <v>0</v>
      </c>
      <c r="L57" s="17">
        <f t="shared" si="12"/>
        <v>100</v>
      </c>
      <c r="M57" s="18">
        <f>L57*Supuestos!$B$14</f>
        <v>1724000</v>
      </c>
      <c r="N57" s="18">
        <f>M57*Supuestos!$B$29</f>
        <v>59290.083999999995</v>
      </c>
      <c r="O57" s="18">
        <f>K57*Supuestos!$B$23</f>
        <v>0</v>
      </c>
      <c r="P57" s="18">
        <f>Supuestos!$B$26</f>
        <v>51000</v>
      </c>
      <c r="Q57" s="18">
        <f t="shared" si="13"/>
        <v>1613709.916</v>
      </c>
      <c r="R57" s="18">
        <f t="shared" si="14"/>
        <v>42608266.206280015</v>
      </c>
      <c r="T57" s="17">
        <f>MIN(Supuestos!$B$34, Supuestos!$B$35-U56)</f>
        <v>0</v>
      </c>
      <c r="U57" s="17">
        <f t="shared" si="15"/>
        <v>100</v>
      </c>
      <c r="V57" s="18">
        <f>U57*Supuestos!$B$14</f>
        <v>1724000</v>
      </c>
      <c r="W57" s="18">
        <f>V57*Supuestos!$B$29</f>
        <v>59290.083999999995</v>
      </c>
      <c r="X57" s="18">
        <f>T57*Supuestos!$B$23</f>
        <v>0</v>
      </c>
      <c r="Y57" s="18">
        <f>Supuestos!$B$26</f>
        <v>51000</v>
      </c>
      <c r="Z57" s="18">
        <f t="shared" si="16"/>
        <v>1613709.916</v>
      </c>
      <c r="AA57" s="18">
        <f t="shared" si="17"/>
        <v>56475299.806560025</v>
      </c>
    </row>
    <row r="58" spans="1:27" x14ac:dyDescent="0.35">
      <c r="A58" s="16">
        <v>54</v>
      </c>
      <c r="B58" s="17">
        <f>MIN(Supuestos!$B$32, Supuestos!$B$35-C57)</f>
        <v>1</v>
      </c>
      <c r="C58" s="17">
        <f t="shared" si="9"/>
        <v>54</v>
      </c>
      <c r="D58" s="18">
        <f>C58*Supuestos!$B$14</f>
        <v>930960</v>
      </c>
      <c r="E58" s="18">
        <f>D58*Supuestos!$B$29</f>
        <v>32016.645359999999</v>
      </c>
      <c r="F58" s="18">
        <f>B58*Supuestos!$B$23</f>
        <v>80000</v>
      </c>
      <c r="G58" s="18">
        <f>Supuestos!$B$26</f>
        <v>51000</v>
      </c>
      <c r="H58" s="18">
        <f t="shared" si="10"/>
        <v>767943.35464000003</v>
      </c>
      <c r="I58" s="18">
        <f t="shared" si="11"/>
        <v>9646942.2525999993</v>
      </c>
      <c r="K58" s="17">
        <f>MIN(Supuestos!$B$33, Supuestos!$B$35-L57)</f>
        <v>0</v>
      </c>
      <c r="L58" s="17">
        <f t="shared" si="12"/>
        <v>100</v>
      </c>
      <c r="M58" s="18">
        <f>L58*Supuestos!$B$14</f>
        <v>1724000</v>
      </c>
      <c r="N58" s="18">
        <f>M58*Supuestos!$B$29</f>
        <v>59290.083999999995</v>
      </c>
      <c r="O58" s="18">
        <f>K58*Supuestos!$B$23</f>
        <v>0</v>
      </c>
      <c r="P58" s="18">
        <f>Supuestos!$B$26</f>
        <v>51000</v>
      </c>
      <c r="Q58" s="18">
        <f t="shared" si="13"/>
        <v>1613709.916</v>
      </c>
      <c r="R58" s="18">
        <f t="shared" si="14"/>
        <v>44221976.122280017</v>
      </c>
      <c r="T58" s="17">
        <f>MIN(Supuestos!$B$34, Supuestos!$B$35-U57)</f>
        <v>0</v>
      </c>
      <c r="U58" s="17">
        <f t="shared" si="15"/>
        <v>100</v>
      </c>
      <c r="V58" s="18">
        <f>U58*Supuestos!$B$14</f>
        <v>1724000</v>
      </c>
      <c r="W58" s="18">
        <f>V58*Supuestos!$B$29</f>
        <v>59290.083999999995</v>
      </c>
      <c r="X58" s="18">
        <f>T58*Supuestos!$B$23</f>
        <v>0</v>
      </c>
      <c r="Y58" s="18">
        <f>Supuestos!$B$26</f>
        <v>51000</v>
      </c>
      <c r="Z58" s="18">
        <f t="shared" si="16"/>
        <v>1613709.916</v>
      </c>
      <c r="AA58" s="18">
        <f t="shared" si="17"/>
        <v>58089009.722560026</v>
      </c>
    </row>
    <row r="59" spans="1:27" x14ac:dyDescent="0.35">
      <c r="A59" s="16">
        <v>55</v>
      </c>
      <c r="B59" s="17">
        <f>MIN(Supuestos!$B$32, Supuestos!$B$35-C58)</f>
        <v>1</v>
      </c>
      <c r="C59" s="17">
        <f t="shared" si="9"/>
        <v>55</v>
      </c>
      <c r="D59" s="18">
        <f>C59*Supuestos!$B$14</f>
        <v>948200</v>
      </c>
      <c r="E59" s="18">
        <f>D59*Supuestos!$B$29</f>
        <v>32609.546199999997</v>
      </c>
      <c r="F59" s="18">
        <f>B59*Supuestos!$B$23</f>
        <v>80000</v>
      </c>
      <c r="G59" s="18">
        <f>Supuestos!$B$26</f>
        <v>51000</v>
      </c>
      <c r="H59" s="18">
        <f t="shared" si="10"/>
        <v>784590.45380000002</v>
      </c>
      <c r="I59" s="18">
        <f t="shared" si="11"/>
        <v>10431532.7064</v>
      </c>
      <c r="K59" s="17">
        <f>MIN(Supuestos!$B$33, Supuestos!$B$35-L58)</f>
        <v>0</v>
      </c>
      <c r="L59" s="17">
        <f t="shared" si="12"/>
        <v>100</v>
      </c>
      <c r="M59" s="18">
        <f>L59*Supuestos!$B$14</f>
        <v>1724000</v>
      </c>
      <c r="N59" s="18">
        <f>M59*Supuestos!$B$29</f>
        <v>59290.083999999995</v>
      </c>
      <c r="O59" s="18">
        <f>K59*Supuestos!$B$23</f>
        <v>0</v>
      </c>
      <c r="P59" s="18">
        <f>Supuestos!$B$26</f>
        <v>51000</v>
      </c>
      <c r="Q59" s="18">
        <f t="shared" si="13"/>
        <v>1613709.916</v>
      </c>
      <c r="R59" s="18">
        <f t="shared" si="14"/>
        <v>45835686.038280018</v>
      </c>
      <c r="T59" s="17">
        <f>MIN(Supuestos!$B$34, Supuestos!$B$35-U58)</f>
        <v>0</v>
      </c>
      <c r="U59" s="17">
        <f t="shared" si="15"/>
        <v>100</v>
      </c>
      <c r="V59" s="18">
        <f>U59*Supuestos!$B$14</f>
        <v>1724000</v>
      </c>
      <c r="W59" s="18">
        <f>V59*Supuestos!$B$29</f>
        <v>59290.083999999995</v>
      </c>
      <c r="X59" s="18">
        <f>T59*Supuestos!$B$23</f>
        <v>0</v>
      </c>
      <c r="Y59" s="18">
        <f>Supuestos!$B$26</f>
        <v>51000</v>
      </c>
      <c r="Z59" s="18">
        <f t="shared" si="16"/>
        <v>1613709.916</v>
      </c>
      <c r="AA59" s="18">
        <f t="shared" si="17"/>
        <v>59702719.638560027</v>
      </c>
    </row>
    <row r="60" spans="1:27" x14ac:dyDescent="0.35">
      <c r="A60" s="16">
        <v>56</v>
      </c>
      <c r="B60" s="17">
        <f>MIN(Supuestos!$B$32, Supuestos!$B$35-C59)</f>
        <v>1</v>
      </c>
      <c r="C60" s="17">
        <f t="shared" si="9"/>
        <v>56</v>
      </c>
      <c r="D60" s="18">
        <f>C60*Supuestos!$B$14</f>
        <v>965440</v>
      </c>
      <c r="E60" s="18">
        <f>D60*Supuestos!$B$29</f>
        <v>33202.447039999999</v>
      </c>
      <c r="F60" s="18">
        <f>B60*Supuestos!$B$23</f>
        <v>80000</v>
      </c>
      <c r="G60" s="18">
        <f>Supuestos!$B$26</f>
        <v>51000</v>
      </c>
      <c r="H60" s="18">
        <f t="shared" si="10"/>
        <v>801237.55296</v>
      </c>
      <c r="I60" s="18">
        <f t="shared" si="11"/>
        <v>11232770.25936</v>
      </c>
      <c r="K60" s="17">
        <f>MIN(Supuestos!$B$33, Supuestos!$B$35-L59)</f>
        <v>0</v>
      </c>
      <c r="L60" s="17">
        <f t="shared" si="12"/>
        <v>100</v>
      </c>
      <c r="M60" s="18">
        <f>L60*Supuestos!$B$14</f>
        <v>1724000</v>
      </c>
      <c r="N60" s="18">
        <f>M60*Supuestos!$B$29</f>
        <v>59290.083999999995</v>
      </c>
      <c r="O60" s="18">
        <f>K60*Supuestos!$B$23</f>
        <v>0</v>
      </c>
      <c r="P60" s="18">
        <f>Supuestos!$B$26</f>
        <v>51000</v>
      </c>
      <c r="Q60" s="18">
        <f t="shared" si="13"/>
        <v>1613709.916</v>
      </c>
      <c r="R60" s="18">
        <f t="shared" si="14"/>
        <v>47449395.954280019</v>
      </c>
      <c r="T60" s="17">
        <f>MIN(Supuestos!$B$34, Supuestos!$B$35-U59)</f>
        <v>0</v>
      </c>
      <c r="U60" s="17">
        <f t="shared" si="15"/>
        <v>100</v>
      </c>
      <c r="V60" s="18">
        <f>U60*Supuestos!$B$14</f>
        <v>1724000</v>
      </c>
      <c r="W60" s="18">
        <f>V60*Supuestos!$B$29</f>
        <v>59290.083999999995</v>
      </c>
      <c r="X60" s="18">
        <f>T60*Supuestos!$B$23</f>
        <v>0</v>
      </c>
      <c r="Y60" s="18">
        <f>Supuestos!$B$26</f>
        <v>51000</v>
      </c>
      <c r="Z60" s="18">
        <f t="shared" si="16"/>
        <v>1613709.916</v>
      </c>
      <c r="AA60" s="18">
        <f t="shared" si="17"/>
        <v>61316429.554560028</v>
      </c>
    </row>
    <row r="61" spans="1:27" x14ac:dyDescent="0.35">
      <c r="A61" s="16">
        <v>57</v>
      </c>
      <c r="B61" s="17">
        <f>MIN(Supuestos!$B$32, Supuestos!$B$35-C60)</f>
        <v>1</v>
      </c>
      <c r="C61" s="17">
        <f t="shared" si="9"/>
        <v>57</v>
      </c>
      <c r="D61" s="18">
        <f>C61*Supuestos!$B$14</f>
        <v>982680</v>
      </c>
      <c r="E61" s="18">
        <f>D61*Supuestos!$B$29</f>
        <v>33795.347880000001</v>
      </c>
      <c r="F61" s="18">
        <f>B61*Supuestos!$B$23</f>
        <v>80000</v>
      </c>
      <c r="G61" s="18">
        <f>Supuestos!$B$26</f>
        <v>51000</v>
      </c>
      <c r="H61" s="18">
        <f t="shared" si="10"/>
        <v>817884.65211999998</v>
      </c>
      <c r="I61" s="18">
        <f t="shared" si="11"/>
        <v>12050654.91148</v>
      </c>
      <c r="K61" s="17">
        <f>MIN(Supuestos!$B$33, Supuestos!$B$35-L60)</f>
        <v>0</v>
      </c>
      <c r="L61" s="17">
        <f t="shared" si="12"/>
        <v>100</v>
      </c>
      <c r="M61" s="18">
        <f>L61*Supuestos!$B$14</f>
        <v>1724000</v>
      </c>
      <c r="N61" s="18">
        <f>M61*Supuestos!$B$29</f>
        <v>59290.083999999995</v>
      </c>
      <c r="O61" s="18">
        <f>K61*Supuestos!$B$23</f>
        <v>0</v>
      </c>
      <c r="P61" s="18">
        <f>Supuestos!$B$26</f>
        <v>51000</v>
      </c>
      <c r="Q61" s="18">
        <f t="shared" si="13"/>
        <v>1613709.916</v>
      </c>
      <c r="R61" s="18">
        <f t="shared" si="14"/>
        <v>49063105.87028002</v>
      </c>
      <c r="T61" s="17">
        <f>MIN(Supuestos!$B$34, Supuestos!$B$35-U60)</f>
        <v>0</v>
      </c>
      <c r="U61" s="17">
        <f t="shared" si="15"/>
        <v>100</v>
      </c>
      <c r="V61" s="18">
        <f>U61*Supuestos!$B$14</f>
        <v>1724000</v>
      </c>
      <c r="W61" s="18">
        <f>V61*Supuestos!$B$29</f>
        <v>59290.083999999995</v>
      </c>
      <c r="X61" s="18">
        <f>T61*Supuestos!$B$23</f>
        <v>0</v>
      </c>
      <c r="Y61" s="18">
        <f>Supuestos!$B$26</f>
        <v>51000</v>
      </c>
      <c r="Z61" s="18">
        <f t="shared" si="16"/>
        <v>1613709.916</v>
      </c>
      <c r="AA61" s="18">
        <f t="shared" si="17"/>
        <v>62930139.470560029</v>
      </c>
    </row>
    <row r="62" spans="1:27" x14ac:dyDescent="0.35">
      <c r="A62" s="16">
        <v>58</v>
      </c>
      <c r="B62" s="17">
        <f>MIN(Supuestos!$B$32, Supuestos!$B$35-C61)</f>
        <v>1</v>
      </c>
      <c r="C62" s="17">
        <f t="shared" si="9"/>
        <v>58</v>
      </c>
      <c r="D62" s="18">
        <f>C62*Supuestos!$B$14</f>
        <v>999920</v>
      </c>
      <c r="E62" s="18">
        <f>D62*Supuestos!$B$29</f>
        <v>34388.248719999996</v>
      </c>
      <c r="F62" s="18">
        <f>B62*Supuestos!$B$23</f>
        <v>80000</v>
      </c>
      <c r="G62" s="18">
        <f>Supuestos!$B$26</f>
        <v>51000</v>
      </c>
      <c r="H62" s="18">
        <f t="shared" si="10"/>
        <v>834531.75127999997</v>
      </c>
      <c r="I62" s="18">
        <f t="shared" si="11"/>
        <v>12885186.662760001</v>
      </c>
      <c r="K62" s="17">
        <f>MIN(Supuestos!$B$33, Supuestos!$B$35-L61)</f>
        <v>0</v>
      </c>
      <c r="L62" s="17">
        <f t="shared" si="12"/>
        <v>100</v>
      </c>
      <c r="M62" s="18">
        <f>L62*Supuestos!$B$14</f>
        <v>1724000</v>
      </c>
      <c r="N62" s="18">
        <f>M62*Supuestos!$B$29</f>
        <v>59290.083999999995</v>
      </c>
      <c r="O62" s="18">
        <f>K62*Supuestos!$B$23</f>
        <v>0</v>
      </c>
      <c r="P62" s="18">
        <f>Supuestos!$B$26</f>
        <v>51000</v>
      </c>
      <c r="Q62" s="18">
        <f t="shared" si="13"/>
        <v>1613709.916</v>
      </c>
      <c r="R62" s="18">
        <f t="shared" si="14"/>
        <v>50676815.786280021</v>
      </c>
      <c r="T62" s="17">
        <f>MIN(Supuestos!$B$34, Supuestos!$B$35-U61)</f>
        <v>0</v>
      </c>
      <c r="U62" s="17">
        <f t="shared" si="15"/>
        <v>100</v>
      </c>
      <c r="V62" s="18">
        <f>U62*Supuestos!$B$14</f>
        <v>1724000</v>
      </c>
      <c r="W62" s="18">
        <f>V62*Supuestos!$B$29</f>
        <v>59290.083999999995</v>
      </c>
      <c r="X62" s="18">
        <f>T62*Supuestos!$B$23</f>
        <v>0</v>
      </c>
      <c r="Y62" s="18">
        <f>Supuestos!$B$26</f>
        <v>51000</v>
      </c>
      <c r="Z62" s="18">
        <f t="shared" si="16"/>
        <v>1613709.916</v>
      </c>
      <c r="AA62" s="18">
        <f t="shared" si="17"/>
        <v>64543849.38656003</v>
      </c>
    </row>
    <row r="63" spans="1:27" x14ac:dyDescent="0.35">
      <c r="A63" s="16">
        <v>59</v>
      </c>
      <c r="B63" s="17">
        <f>MIN(Supuestos!$B$32, Supuestos!$B$35-C62)</f>
        <v>1</v>
      </c>
      <c r="C63" s="17">
        <f t="shared" si="9"/>
        <v>59</v>
      </c>
      <c r="D63" s="18">
        <f>C63*Supuestos!$B$14</f>
        <v>1017160</v>
      </c>
      <c r="E63" s="18">
        <f>D63*Supuestos!$B$29</f>
        <v>34981.149559999998</v>
      </c>
      <c r="F63" s="18">
        <f>B63*Supuestos!$B$23</f>
        <v>80000</v>
      </c>
      <c r="G63" s="18">
        <f>Supuestos!$B$26</f>
        <v>51000</v>
      </c>
      <c r="H63" s="18">
        <f t="shared" si="10"/>
        <v>851178.85043999995</v>
      </c>
      <c r="I63" s="18">
        <f t="shared" si="11"/>
        <v>13736365.5132</v>
      </c>
      <c r="K63" s="17">
        <f>MIN(Supuestos!$B$33, Supuestos!$B$35-L62)</f>
        <v>0</v>
      </c>
      <c r="L63" s="17">
        <f t="shared" si="12"/>
        <v>100</v>
      </c>
      <c r="M63" s="18">
        <f>L63*Supuestos!$B$14</f>
        <v>1724000</v>
      </c>
      <c r="N63" s="18">
        <f>M63*Supuestos!$B$29</f>
        <v>59290.083999999995</v>
      </c>
      <c r="O63" s="18">
        <f>K63*Supuestos!$B$23</f>
        <v>0</v>
      </c>
      <c r="P63" s="18">
        <f>Supuestos!$B$26</f>
        <v>51000</v>
      </c>
      <c r="Q63" s="18">
        <f t="shared" si="13"/>
        <v>1613709.916</v>
      </c>
      <c r="R63" s="18">
        <f t="shared" si="14"/>
        <v>52290525.702280022</v>
      </c>
      <c r="T63" s="17">
        <f>MIN(Supuestos!$B$34, Supuestos!$B$35-U62)</f>
        <v>0</v>
      </c>
      <c r="U63" s="17">
        <f t="shared" si="15"/>
        <v>100</v>
      </c>
      <c r="V63" s="18">
        <f>U63*Supuestos!$B$14</f>
        <v>1724000</v>
      </c>
      <c r="W63" s="18">
        <f>V63*Supuestos!$B$29</f>
        <v>59290.083999999995</v>
      </c>
      <c r="X63" s="18">
        <f>T63*Supuestos!$B$23</f>
        <v>0</v>
      </c>
      <c r="Y63" s="18">
        <f>Supuestos!$B$26</f>
        <v>51000</v>
      </c>
      <c r="Z63" s="18">
        <f t="shared" si="16"/>
        <v>1613709.916</v>
      </c>
      <c r="AA63" s="18">
        <f t="shared" si="17"/>
        <v>66157559.302560031</v>
      </c>
    </row>
    <row r="64" spans="1:27" x14ac:dyDescent="0.35">
      <c r="A64" s="16">
        <v>60</v>
      </c>
      <c r="B64" s="17">
        <f>MIN(Supuestos!$B$32, Supuestos!$B$35-C63)</f>
        <v>1</v>
      </c>
      <c r="C64" s="17">
        <f t="shared" si="9"/>
        <v>60</v>
      </c>
      <c r="D64" s="18">
        <f>C64*Supuestos!$B$14</f>
        <v>1034400</v>
      </c>
      <c r="E64" s="18">
        <f>D64*Supuestos!$B$29</f>
        <v>35574.0504</v>
      </c>
      <c r="F64" s="18">
        <f>B64*Supuestos!$B$23</f>
        <v>80000</v>
      </c>
      <c r="G64" s="18">
        <f>Supuestos!$B$26</f>
        <v>51000</v>
      </c>
      <c r="H64" s="18">
        <f t="shared" si="10"/>
        <v>867825.94960000005</v>
      </c>
      <c r="I64" s="18">
        <f t="shared" si="11"/>
        <v>14604191.4628</v>
      </c>
      <c r="K64" s="17">
        <f>MIN(Supuestos!$B$33, Supuestos!$B$35-L63)</f>
        <v>0</v>
      </c>
      <c r="L64" s="17">
        <f t="shared" si="12"/>
        <v>100</v>
      </c>
      <c r="M64" s="18">
        <f>L64*Supuestos!$B$14</f>
        <v>1724000</v>
      </c>
      <c r="N64" s="18">
        <f>M64*Supuestos!$B$29</f>
        <v>59290.083999999995</v>
      </c>
      <c r="O64" s="18">
        <f>K64*Supuestos!$B$23</f>
        <v>0</v>
      </c>
      <c r="P64" s="18">
        <f>Supuestos!$B$26</f>
        <v>51000</v>
      </c>
      <c r="Q64" s="18">
        <f t="shared" si="13"/>
        <v>1613709.916</v>
      </c>
      <c r="R64" s="18">
        <f t="shared" si="14"/>
        <v>53904235.618280023</v>
      </c>
      <c r="T64" s="17">
        <f>MIN(Supuestos!$B$34, Supuestos!$B$35-U63)</f>
        <v>0</v>
      </c>
      <c r="U64" s="17">
        <f t="shared" si="15"/>
        <v>100</v>
      </c>
      <c r="V64" s="18">
        <f>U64*Supuestos!$B$14</f>
        <v>1724000</v>
      </c>
      <c r="W64" s="18">
        <f>V64*Supuestos!$B$29</f>
        <v>59290.083999999995</v>
      </c>
      <c r="X64" s="18">
        <f>T64*Supuestos!$B$23</f>
        <v>0</v>
      </c>
      <c r="Y64" s="18">
        <f>Supuestos!$B$26</f>
        <v>51000</v>
      </c>
      <c r="Z64" s="18">
        <f t="shared" si="16"/>
        <v>1613709.916</v>
      </c>
      <c r="AA64" s="18">
        <f t="shared" si="17"/>
        <v>67771269.218560025</v>
      </c>
    </row>
  </sheetData>
  <mergeCells count="3">
    <mergeCell ref="B2:I2"/>
    <mergeCell ref="K2:R2"/>
    <mergeCell ref="T2:AA2"/>
  </mergeCells>
  <pageMargins left="0.75" right="0.75" top="1" bottom="1" header="0.511811023622047" footer="0.511811023622047"/>
  <pageSetup paperSize="9" orientation="portrait" horizontalDpi="300" verticalDpi="30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pageSetUpPr fitToPage="1"/>
  </sheetPr>
  <dimension ref="A1:E9"/>
  <sheetViews>
    <sheetView showGridLines="0" tabSelected="1" topLeftCell="A3" zoomScaleNormal="100" workbookViewId="0">
      <selection sqref="A1:E1"/>
    </sheetView>
  </sheetViews>
  <sheetFormatPr baseColWidth="10" defaultColWidth="8.6328125" defaultRowHeight="14.5" x14ac:dyDescent="0.35"/>
  <cols>
    <col min="1" max="3" width="16" customWidth="1"/>
    <col min="4" max="4" width="20" customWidth="1"/>
    <col min="5" max="5" width="24" customWidth="1"/>
  </cols>
  <sheetData>
    <row r="1" spans="1:5" ht="18" x14ac:dyDescent="0.4">
      <c r="A1" s="4" t="s">
        <v>49</v>
      </c>
      <c r="B1" s="4"/>
      <c r="C1" s="4"/>
      <c r="D1" s="4"/>
      <c r="E1" s="4"/>
    </row>
    <row r="2" spans="1:5" x14ac:dyDescent="0.35">
      <c r="A2" s="5" t="s">
        <v>50</v>
      </c>
    </row>
    <row r="4" spans="1:5" ht="24" x14ac:dyDescent="0.35">
      <c r="A4" s="19" t="s">
        <v>51</v>
      </c>
      <c r="B4" s="19" t="s">
        <v>52</v>
      </c>
      <c r="C4" s="19" t="s">
        <v>53</v>
      </c>
      <c r="D4" s="19" t="s">
        <v>54</v>
      </c>
      <c r="E4" s="19" t="s">
        <v>55</v>
      </c>
    </row>
    <row r="5" spans="1:5" x14ac:dyDescent="0.35">
      <c r="A5" s="20" t="s">
        <v>56</v>
      </c>
      <c r="B5" s="21">
        <f>Supuestos!$B$32</f>
        <v>1</v>
      </c>
      <c r="C5" s="22">
        <f>IFERROR(_xlfn.MINIFS(Proyeccion!$A$5:$A$64,Proyeccion!$I$5:$I$64,"&gt;=0"),"No recupera en "&amp;Supuestos!$B$36&amp;" meses")</f>
        <v>40</v>
      </c>
      <c r="D5" s="23">
        <f>Proyeccion!$I$64</f>
        <v>14604191.4628</v>
      </c>
      <c r="E5" s="23">
        <f>Supuestos!$B$35*Supuestos!$B$14*(1-Supuestos!$B$29)-Supuestos!$B$26</f>
        <v>1613709.9160000002</v>
      </c>
    </row>
    <row r="6" spans="1:5" x14ac:dyDescent="0.35">
      <c r="A6" s="20" t="s">
        <v>57</v>
      </c>
      <c r="B6" s="21">
        <f>Supuestos!$B$33</f>
        <v>3</v>
      </c>
      <c r="C6" s="22">
        <f>IFERROR(_xlfn.MINIFS(Proyeccion!$A$5:$A$64,Proyeccion!$R$5:$R$64,"&gt;=0"),"No recupera en "&amp;Supuestos!$B$36&amp;" meses")</f>
        <v>25</v>
      </c>
      <c r="D6" s="23">
        <f>Proyeccion!$R$64</f>
        <v>53904235.618280023</v>
      </c>
      <c r="E6" s="23">
        <f>Supuestos!$B$35*Supuestos!$B$14*(1-Supuestos!$B$29)-Supuestos!$B$26</f>
        <v>1613709.9160000002</v>
      </c>
    </row>
    <row r="7" spans="1:5" x14ac:dyDescent="0.35">
      <c r="A7" s="20" t="s">
        <v>58</v>
      </c>
      <c r="B7" s="21">
        <f>Supuestos!$B$34</f>
        <v>6</v>
      </c>
      <c r="C7" s="22">
        <f>IFERROR(_xlfn.MINIFS(Proyeccion!$A$5:$A$64,Proyeccion!$AA$5:$AA$64,"&gt;=0"),"No recupera en "&amp;Supuestos!$B$36&amp;" meses")</f>
        <v>19</v>
      </c>
      <c r="D7" s="23">
        <f>Proyeccion!$AA$64</f>
        <v>67771269.218560025</v>
      </c>
      <c r="E7" s="23">
        <f>Supuestos!$B$35*Supuestos!$B$14*(1-Supuestos!$B$29)-Supuestos!$B$26</f>
        <v>1613709.9160000002</v>
      </c>
    </row>
    <row r="9" spans="1:5" ht="30" customHeight="1" x14ac:dyDescent="0.35">
      <c r="A9" s="1" t="s">
        <v>59</v>
      </c>
      <c r="B9" s="1"/>
      <c r="C9" s="1"/>
      <c r="D9" s="1"/>
      <c r="E9" s="1"/>
    </row>
  </sheetData>
  <mergeCells count="2">
    <mergeCell ref="A1:E1"/>
    <mergeCell ref="A9:E9"/>
  </mergeCells>
  <pageMargins left="0.75" right="0.75" top="1" bottom="1" header="0.511811023622047" footer="0.511811023622047"/>
  <pageSetup fitToHeight="0" orientation="landscape" horizontalDpi="300" verticalDpi="300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3</vt:i4>
      </vt:variant>
      <vt:variant>
        <vt:lpstr>Rangos con nombre</vt:lpstr>
      </vt:variant>
      <vt:variant>
        <vt:i4>1</vt:i4>
      </vt:variant>
    </vt:vector>
  </HeadingPairs>
  <TitlesOfParts>
    <vt:vector size="4" baseType="lpstr">
      <vt:lpstr>Supuestos</vt:lpstr>
      <vt:lpstr>Proyeccion</vt:lpstr>
      <vt:lpstr>Resumen</vt:lpstr>
      <vt:lpstr>Resumen!Área_de_impresión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dc:description/>
  <cp:lastModifiedBy>ALVARO ISRAEL BARRERA SILVA</cp:lastModifiedBy>
  <cp:revision>1</cp:revision>
  <dcterms:created xsi:type="dcterms:W3CDTF">2026-09-10T16:33:51Z</dcterms:created>
  <dcterms:modified xsi:type="dcterms:W3CDTF">2026-09-10T17:19:13Z</dcterms:modified>
  <dc:language>en-US</dc:language>
</cp:coreProperties>
</file>